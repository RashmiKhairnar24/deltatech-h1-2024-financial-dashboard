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rashm\Downloads\"/>
    </mc:Choice>
  </mc:AlternateContent>
  <xr:revisionPtr revIDLastSave="0" documentId="13_ncr:1_{D1D3C0B0-CA4E-4EF3-A945-6F87AD631D23}" xr6:coauthVersionLast="47" xr6:coauthVersionMax="47" xr10:uidLastSave="{00000000-0000-0000-0000-000000000000}"/>
  <bookViews>
    <workbookView xWindow="-108" yWindow="-108" windowWidth="23256" windowHeight="12456" activeTab="1" xr2:uid="{08F129B7-2BC9-4089-B892-218741833136}"/>
  </bookViews>
  <sheets>
    <sheet name="Insights Recommendations" sheetId="13" r:id="rId1"/>
    <sheet name="dashboard" sheetId="18" r:id="rId2"/>
    <sheet name="Analysis" sheetId="17" r:id="rId3"/>
    <sheet name="Combined_Data" sheetId="8" r:id="rId4"/>
    <sheet name="May_2024" sheetId="7" r:id="rId5"/>
    <sheet name="Mar_2024" sheetId="6" r:id="rId6"/>
    <sheet name="Jun_2024" sheetId="5" r:id="rId7"/>
    <sheet name="Jan_2024" sheetId="4" r:id="rId8"/>
    <sheet name="Feb_2024" sheetId="3" r:id="rId9"/>
    <sheet name="Apr_2024" sheetId="2" r:id="rId10"/>
    <sheet name="Sheet1" sheetId="1" r:id="rId11"/>
  </sheets>
  <definedNames>
    <definedName name="ExternalData_1" localSheetId="9" hidden="1">Apr_2024!$A$1:$H$41</definedName>
    <definedName name="ExternalData_2" localSheetId="8" hidden="1">Feb_2024!$A$1:$H$41</definedName>
    <definedName name="ExternalData_3" localSheetId="7" hidden="1">Jan_2024!$A$1:$H$41</definedName>
    <definedName name="ExternalData_4" localSheetId="6" hidden="1">Jun_2024!$A$1:$H$41</definedName>
    <definedName name="ExternalData_5" localSheetId="5" hidden="1">Mar_2024!$A$1:$H$41</definedName>
    <definedName name="ExternalData_6" localSheetId="4" hidden="1">May_2024!$A$1:$H$41</definedName>
    <definedName name="ExternalData_7" localSheetId="3" hidden="1">'Combined_Data'!$A$1:$I$234</definedName>
    <definedName name="Slicer_Country">#N/A</definedName>
    <definedName name="Slicer_Month">#N/A</definedName>
    <definedName name="Slicer_ProductLine">#N/A</definedName>
  </definedNames>
  <calcPr calcId="191029"/>
  <pivotCaches>
    <pivotCache cacheId="43"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3" i="17"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464DC5-E4D2-4625-BDA5-67634B4011EB}" keepAlive="1" name="Query - Apr_2024" description="Connection to the 'Apr_2024' query in the workbook." type="5" refreshedVersion="8" background="1" saveData="1">
    <dbPr connection="Provider=Microsoft.Mashup.OleDb.1;Data Source=$Workbook$;Location=Apr_2024;Extended Properties=&quot;&quot;" command="SELECT * FROM [Apr_2024]"/>
  </connection>
  <connection id="2" xr16:uid="{6C667EFD-E682-479F-B917-2E73F5191999}" keepAlive="1" name="Query - Combined_Data" description="Connection to the 'Combined_Data' query in the workbook." type="5" refreshedVersion="8" background="1" saveData="1">
    <dbPr connection="Provider=Microsoft.Mashup.OleDb.1;Data Source=$Workbook$;Location=Combined_Data;Extended Properties=&quot;&quot;" command="SELECT * FROM [Combined_Data]"/>
  </connection>
  <connection id="3" xr16:uid="{496D05BD-431E-4372-87AF-ED0A19C87089}" keepAlive="1" name="Query - Feb_2024" description="Connection to the 'Feb_2024' query in the workbook." type="5" refreshedVersion="8" background="1" saveData="1">
    <dbPr connection="Provider=Microsoft.Mashup.OleDb.1;Data Source=$Workbook$;Location=Feb_2024;Extended Properties=&quot;&quot;" command="SELECT * FROM [Feb_2024]"/>
  </connection>
  <connection id="4" xr16:uid="{FA6C6051-2C97-4327-B6B8-4AD8CA223546}" keepAlive="1" name="Query - Jan_2024" description="Connection to the 'Jan_2024' query in the workbook." type="5" refreshedVersion="8" background="1" saveData="1">
    <dbPr connection="Provider=Microsoft.Mashup.OleDb.1;Data Source=$Workbook$;Location=Jan_2024;Extended Properties=&quot;&quot;" command="SELECT * FROM [Jan_2024]"/>
  </connection>
  <connection id="5" xr16:uid="{BCF34FB7-D9E1-4D7F-BC8C-46B146EA466D}" keepAlive="1" name="Query - Jun_2024" description="Connection to the 'Jun_2024' query in the workbook." type="5" refreshedVersion="8" background="1" saveData="1">
    <dbPr connection="Provider=Microsoft.Mashup.OleDb.1;Data Source=$Workbook$;Location=Jun_2024;Extended Properties=&quot;&quot;" command="SELECT * FROM [Jun_2024]"/>
  </connection>
  <connection id="6" xr16:uid="{56C81F8E-1E47-4B4D-B0EF-7C6A282140C7}" keepAlive="1" name="Query - Mar_2024" description="Connection to the 'Mar_2024' query in the workbook." type="5" refreshedVersion="8" background="1" saveData="1">
    <dbPr connection="Provider=Microsoft.Mashup.OleDb.1;Data Source=$Workbook$;Location=Mar_2024;Extended Properties=&quot;&quot;" command="SELECT * FROM [Mar_2024]"/>
  </connection>
  <connection id="7" xr16:uid="{43C6A741-B0D4-4AFD-A012-204A9736B3D6}" keepAlive="1" name="Query - May_2024" description="Connection to the 'May_2024' query in the workbook." type="5" refreshedVersion="8" background="1" saveData="1">
    <dbPr connection="Provider=Microsoft.Mashup.OleDb.1;Data Source=$Workbook$;Location=May_2024;Extended Properties=&quot;&quot;" command="SELECT * FROM [May_2024]"/>
  </connection>
</connections>
</file>

<file path=xl/sharedStrings.xml><?xml version="1.0" encoding="utf-8"?>
<sst xmlns="http://schemas.openxmlformats.org/spreadsheetml/2006/main" count="1998" uniqueCount="62">
  <si>
    <t>Country</t>
  </si>
  <si>
    <t>ProductLine</t>
  </si>
  <si>
    <t>CustomerSegment</t>
  </si>
  <si>
    <t>Revenue_EUR</t>
  </si>
  <si>
    <t>COGS_EUR</t>
  </si>
  <si>
    <t>OperatingExpenses_Eur</t>
  </si>
  <si>
    <t>UnitsSold</t>
  </si>
  <si>
    <t>Month</t>
  </si>
  <si>
    <t>NETHERLANDS</t>
  </si>
  <si>
    <t>INDUSTRIAL SENSORS</t>
  </si>
  <si>
    <t>Enterprise</t>
  </si>
  <si>
    <t>April_2024</t>
  </si>
  <si>
    <t>SMB</t>
  </si>
  <si>
    <t>Power Supplies</t>
  </si>
  <si>
    <t>Control modules</t>
  </si>
  <si>
    <t>CONNECTORS &amp; CABLES</t>
  </si>
  <si>
    <t>AUTOMATION SOFTWARE</t>
  </si>
  <si>
    <t>germany</t>
  </si>
  <si>
    <t>Industrial Sensors</t>
  </si>
  <si>
    <t>Power supplies</t>
  </si>
  <si>
    <t>Connectors &amp; Cables</t>
  </si>
  <si>
    <t>Automation software</t>
  </si>
  <si>
    <t>belgium</t>
  </si>
  <si>
    <t>CONTROL MODULES</t>
  </si>
  <si>
    <t>Automation Software</t>
  </si>
  <si>
    <t>france</t>
  </si>
  <si>
    <t>Industrial sensors</t>
  </si>
  <si>
    <t>POWER SUPPLIES</t>
  </si>
  <si>
    <t>Connectors and Cables</t>
  </si>
  <si>
    <t>OperatingExpenses_EUR</t>
  </si>
  <si>
    <t>netherlands</t>
  </si>
  <si>
    <t>Feb_2024</t>
  </si>
  <si>
    <t>Germany</t>
  </si>
  <si>
    <t>Control Modules</t>
  </si>
  <si>
    <t>FRANCE</t>
  </si>
  <si>
    <t>jan_2024</t>
  </si>
  <si>
    <t>Netherlands</t>
  </si>
  <si>
    <t>Jun_2024</t>
  </si>
  <si>
    <t>BELGIUM</t>
  </si>
  <si>
    <t>France</t>
  </si>
  <si>
    <t>Mar_2024</t>
  </si>
  <si>
    <t>May_2024</t>
  </si>
  <si>
    <t>OperatingExpenses_Eur2</t>
  </si>
  <si>
    <t>Belgium</t>
  </si>
  <si>
    <t>Row Labels</t>
  </si>
  <si>
    <t>Grand Total</t>
  </si>
  <si>
    <t>Revenue_EUR_Corrected</t>
  </si>
  <si>
    <t>Sum of Revenue_EUR_Corrected</t>
  </si>
  <si>
    <t>Sum of Operating Profit</t>
  </si>
  <si>
    <t>Sum of Gross Margin %</t>
  </si>
  <si>
    <r>
      <t xml:space="preserve"> </t>
    </r>
    <r>
      <rPr>
        <b/>
        <sz val="22"/>
        <color theme="0"/>
        <rFont val="Calibri"/>
        <family val="2"/>
        <scheme val="minor"/>
      </rPr>
      <t>DeltaTech B.V. | H1 2024 Financial Performance.</t>
    </r>
  </si>
  <si>
    <t>Executive Insights</t>
  </si>
  <si>
    <r>
      <t>The VAT Inversion:</t>
    </r>
    <r>
      <rPr>
        <sz val="11"/>
        <color theme="1"/>
        <rFont val="Calibri"/>
        <family val="2"/>
        <scheme val="minor"/>
      </rPr>
      <t xml:space="preserve"> Removing a localized 19% German VAT reporting artifact completely inverted regional profitability rankings. Germany shifted from the apparent highest-performing region to the weakest (40.5% gross margin), revealing France as the true group leader (43.9%).</t>
    </r>
  </si>
  <si>
    <r>
      <t>Cost Structure Reality:</t>
    </r>
    <r>
      <rPr>
        <sz val="11"/>
        <color theme="1"/>
        <rFont val="Calibri"/>
        <family val="2"/>
        <scheme val="minor"/>
      </rPr>
      <t xml:space="preserve"> Following the consolidation of fragmented raw data, true operating expenses demonstrated a highly consistent cross-border baseline of 15.8% of revenue. This is structurally sound but materially higher than early, unmerged data samples suggested, leaving less buffer for hardware margin compression.</t>
    </r>
  </si>
  <si>
    <r>
      <t>Product Mix Economics:</t>
    </r>
    <r>
      <rPr>
        <sz val="11"/>
        <color theme="1"/>
        <rFont val="Calibri"/>
        <family val="2"/>
        <scheme val="minor"/>
      </rPr>
      <t xml:space="preserve"> Automation Software is the group's strongest economic engine, operating at a 64.4% margin. Conversely, Connectors &amp; Cables is a systemic drag across all borders, dragging group averages down at 28.9%.</t>
    </r>
  </si>
  <si>
    <r>
      <t>The German Margin Drag:</t>
    </r>
    <r>
      <rPr>
        <sz val="11"/>
        <color theme="1"/>
        <rFont val="Calibri"/>
        <family val="2"/>
        <scheme val="minor"/>
      </rPr>
      <t xml:space="preserve"> Germany's localized underperformance is driven by two factors: a heavier reliance on low-margin hardware categories, and specific underperformance within its own Industrial Sensors line (39.7% locally versus ~42% group-wide).</t>
    </r>
  </si>
  <si>
    <t>Strategic Recommendations</t>
  </si>
  <si>
    <r>
      <t>Enforce Data Governance:</t>
    </r>
    <r>
      <rPr>
        <sz val="11"/>
        <color theme="1"/>
        <rFont val="Calibri"/>
        <family val="2"/>
        <scheme val="minor"/>
      </rPr>
      <t xml:space="preserve"> Implement a VAT-exclusive, locked financial export template across all European entities. Set automated sanity-check parameters in the data pipeline to catch tax-basis mismatches and structural column errors before they reach executive reporting.</t>
    </r>
  </si>
  <si>
    <r>
      <t>Pivot Q3 Sales Incentives:</t>
    </r>
    <r>
      <rPr>
        <sz val="11"/>
        <color theme="1"/>
        <rFont val="Calibri"/>
        <family val="2"/>
        <scheme val="minor"/>
      </rPr>
      <t xml:space="preserve"> With operating expenses tightly banded at ~15.8%, margin expansion cannot rely on further cost-cutting without impacting service. Q3 commission structures must be aggressively realigned to incentivize volume in Automation Software.</t>
    </r>
  </si>
  <si>
    <r>
      <t>Audit Hardware Profitability:</t>
    </r>
    <r>
      <rPr>
        <sz val="11"/>
        <color theme="1"/>
        <rFont val="Calibri"/>
        <family val="2"/>
        <scheme val="minor"/>
      </rPr>
      <t xml:space="preserve"> Launch an immediate pricing and procurement review of Connectors &amp; Cables group-wide to lift the structural floor. Concurrently, initiate a localized audit of supplier terms and discounting practices for Germany's Industrial Sensors to close the 2-point profitability gap with neighboring regions.</t>
    </r>
  </si>
  <si>
    <r>
      <t>Investigate Q1 Contraction:</t>
    </r>
    <r>
      <rPr>
        <sz val="11"/>
        <color theme="1"/>
        <rFont val="Calibri"/>
        <family val="2"/>
        <scheme val="minor"/>
      </rPr>
      <t xml:space="preserve"> Open a targeted review of the February (41.0%) and March (40.0%) margin dips. Because this localized contraction persists independently of the VAT correction, it requires investigation into Q1 pricing behaviors or supply chain cost spikes.</t>
    </r>
  </si>
  <si>
    <t>Sum of Operating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</si>
</sst>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2]\ * #,##0.00_ ;_ [$€-2]\ * \-#,##0.00_ ;_ [$€-2]\ * &quot;-&quot;??_ ;_ @_ "/>
  </numFmts>
  <fonts count="6" x14ac:knownFonts="1">
    <font>
      <sz val="11"/>
      <color theme="1"/>
      <name val="Calibri"/>
      <family val="2"/>
      <scheme val="minor"/>
    </font>
    <font>
      <b/>
      <sz val="11"/>
      <color theme="1"/>
      <name val="Calibri"/>
      <family val="2"/>
      <scheme val="minor"/>
    </font>
    <font>
      <sz val="8"/>
      <name val="Calibri"/>
      <family val="2"/>
      <scheme val="minor"/>
    </font>
    <font>
      <b/>
      <sz val="18"/>
      <color theme="1"/>
      <name val="Calibri"/>
      <family val="2"/>
      <scheme val="minor"/>
    </font>
    <font>
      <sz val="11"/>
      <color theme="0"/>
      <name val="Calibri"/>
      <family val="2"/>
      <scheme val="minor"/>
    </font>
    <font>
      <b/>
      <sz val="22"/>
      <color theme="0"/>
      <name val="Calibri"/>
      <family val="2"/>
      <scheme val="minor"/>
    </font>
  </fonts>
  <fills count="3">
    <fill>
      <patternFill patternType="none"/>
    </fill>
    <fill>
      <patternFill patternType="gray125"/>
    </fill>
    <fill>
      <patternFill patternType="solid">
        <fgColor theme="0" tint="-0.34998626667073579"/>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9" fontId="0" fillId="0" borderId="0" xfId="0" applyNumberFormat="1"/>
    <xf numFmtId="164" fontId="0" fillId="0" borderId="0" xfId="0" applyNumberFormat="1"/>
    <xf numFmtId="0" fontId="1" fillId="0" borderId="0" xfId="0" applyFont="1"/>
    <xf numFmtId="0" fontId="0" fillId="0" borderId="0" xfId="0" applyAlignment="1">
      <alignment horizontal="left" vertical="center" indent="1"/>
    </xf>
    <xf numFmtId="0" fontId="1" fillId="0" borderId="0" xfId="0" applyFont="1" applyAlignment="1">
      <alignment horizontal="left" vertical="center" indent="1"/>
    </xf>
    <xf numFmtId="0" fontId="3" fillId="0" borderId="0" xfId="0" applyFont="1" applyAlignment="1">
      <alignment vertical="center"/>
    </xf>
    <xf numFmtId="0" fontId="0" fillId="0" borderId="0" xfId="0" applyNumberFormat="1"/>
    <xf numFmtId="0" fontId="4" fillId="2" borderId="0" xfId="0" applyFont="1" applyFill="1" applyAlignment="1">
      <alignment horizontal="center"/>
    </xf>
  </cellXfs>
  <cellStyles count="1">
    <cellStyle name="Normal" xfId="0" builtinId="0"/>
  </cellStyles>
  <dxfs count="52">
    <dxf>
      <numFmt numFmtId="164" formatCode="_ [$€-2]\ * #,##0.00_ ;_ [$€-2]\ * \-#,##0.00_ ;_ [$€-2]\ * &quot;-&quot;??_ ;_ @_ "/>
    </dxf>
    <dxf>
      <numFmt numFmtId="164" formatCode="_ [$€-2]\ * #,##0.00_ ;_ [$€-2]\ * \-#,##0.00_ ;_ [$€-2]\ * &quot;-&quot;??_ ;_ @_ "/>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4" formatCode="_ [$€-2]\ * #,##0.00_ ;_ [$€-2]\ * \-#,##0.00_ ;_ [$€-2]\ * &quot;-&quot;??_ ;_ @_ "/>
    </dxf>
    <dxf>
      <numFmt numFmtId="13" formatCode="0%"/>
    </dxf>
    <dxf>
      <numFmt numFmtId="164" formatCode="_ [$€-2]\ * #,##0.00_ ;_ [$€-2]\ * \-#,##0.00_ ;_ [$€-2]\ * &quot;-&quot;??_ ;_ @_ "/>
    </dxf>
    <dxf>
      <numFmt numFmtId="164" formatCode="_ [$€-2]\ * #,##0.00_ ;_ [$€-2]\ * \-#,##0.00_ ;_ [$€-2]\ * &quot;-&quot;??_ ;_ @_ "/>
    </dxf>
    <dxf>
      <numFmt numFmtId="13" formatCode="0%"/>
    </dxf>
    <dxf>
      <numFmt numFmtId="13" formatCode="0%"/>
    </dxf>
    <dxf>
      <numFmt numFmtId="13" formatCode="0%"/>
    </dxf>
    <dxf>
      <numFmt numFmtId="13" formatCode="0%"/>
    </dxf>
    <dxf>
      <numFmt numFmtId="164" formatCode="_ [$€-2]\ * #,##0.00_ ;_ [$€-2]\ * \-#,##0.00_ ;_ [$€-2]\ * &quot;-&quot;??_ ;_ @_ "/>
    </dxf>
    <dxf>
      <numFmt numFmtId="164" formatCode="_ [$€-2]\ * #,##0.00_ ;_ [$€-2]\ * \-#,##0.00_ ;_ [$€-2]\ * &quot;-&quot;??_ ;_ @_ "/>
    </dxf>
    <dxf>
      <numFmt numFmtId="13" formatCode="0%"/>
    </dxf>
    <dxf>
      <numFmt numFmtId="13" formatCode="0%"/>
    </dxf>
    <dxf>
      <numFmt numFmtId="164" formatCode="_ [$€-2]\ * #,##0.00_ ;_ [$€-2]\ * \-#,##0.00_ ;_ [$€-2]\ * &quot;-&quot;??_ ;_ @_ "/>
    </dxf>
    <dxf>
      <numFmt numFmtId="164" formatCode="_ [$€-2]\ * #,##0.00_ ;_ [$€-2]\ * \-#,##0.00_ ;_ [$€-2]\ * &quot;-&quot;??_ ;_ @_ "/>
    </dxf>
    <dxf>
      <numFmt numFmtId="13" formatCode="0%"/>
    </dxf>
    <dxf>
      <numFmt numFmtId="13" formatCode="0%"/>
    </dxf>
    <dxf>
      <numFmt numFmtId="13" formatCode="0%"/>
    </dxf>
    <dxf>
      <numFmt numFmtId="13" formatCode="0%"/>
    </dxf>
    <dxf>
      <numFmt numFmtId="13" formatCode="0%"/>
    </dxf>
    <dxf>
      <numFmt numFmtId="13" formatCode="0%"/>
    </dxf>
    <dxf>
      <numFmt numFmtId="164" formatCode="_ [$€-2]\ * #,##0.00_ ;_ [$€-2]\ * \-#,##0.00_ ;_ [$€-2]\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[Portfolio_Khairnar_DeltaTech_Dashboard.xlsx]Analysis!PivotTable4</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Gross Margin % by Product Line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Analysis!$B$12</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Analysis!$A$13:$A$18</c:f>
              <c:strCache>
                <c:ptCount val="5"/>
                <c:pt idx="0">
                  <c:v>Automation Software</c:v>
                </c:pt>
                <c:pt idx="1">
                  <c:v>Control Modules</c:v>
                </c:pt>
                <c:pt idx="2">
                  <c:v>Industrial Sensors</c:v>
                </c:pt>
                <c:pt idx="3">
                  <c:v>Power Supplies</c:v>
                </c:pt>
                <c:pt idx="4">
                  <c:v>Connectors &amp; Cables</c:v>
                </c:pt>
              </c:strCache>
            </c:strRef>
          </c:cat>
          <c:val>
            <c:numRef>
              <c:f>Analysis!$B$13:$B$18</c:f>
              <c:numCache>
                <c:formatCode>0%</c:formatCode>
                <c:ptCount val="5"/>
                <c:pt idx="0">
                  <c:v>0.64352164550055879</c:v>
                </c:pt>
                <c:pt idx="1">
                  <c:v>0.44613841321157383</c:v>
                </c:pt>
                <c:pt idx="2">
                  <c:v>0.41249076460279049</c:v>
                </c:pt>
                <c:pt idx="3">
                  <c:v>0.34666448506499842</c:v>
                </c:pt>
                <c:pt idx="4">
                  <c:v>0.28912569652100473</c:v>
                </c:pt>
              </c:numCache>
            </c:numRef>
          </c:val>
          <c:extLst>
            <c:ext xmlns:c16="http://schemas.microsoft.com/office/drawing/2014/chart" uri="{C3380CC4-5D6E-409C-BE32-E72D297353CC}">
              <c16:uniqueId val="{00000000-6026-4DD9-BFFB-A90208B2FC6B}"/>
            </c:ext>
          </c:extLst>
        </c:ser>
        <c:dLbls>
          <c:showLegendKey val="0"/>
          <c:showVal val="0"/>
          <c:showCatName val="0"/>
          <c:showSerName val="0"/>
          <c:showPercent val="0"/>
          <c:showBubbleSize val="0"/>
        </c:dLbls>
        <c:gapWidth val="100"/>
        <c:overlap val="-24"/>
        <c:axId val="1511900799"/>
        <c:axId val="1522114031"/>
      </c:barChart>
      <c:catAx>
        <c:axId val="15119007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114031"/>
        <c:crosses val="autoZero"/>
        <c:auto val="1"/>
        <c:lblAlgn val="ctr"/>
        <c:lblOffset val="100"/>
        <c:noMultiLvlLbl val="0"/>
      </c:catAx>
      <c:valAx>
        <c:axId val="15221140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19007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[Portfolio_Khairnar_DeltaTech_Dashboard.xlsx]Analysis!PivotTable5</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Gross Margin % by Region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Analysis!$B$21</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Analysis!$A$22:$A$26</c:f>
              <c:strCache>
                <c:ptCount val="4"/>
                <c:pt idx="0">
                  <c:v>France</c:v>
                </c:pt>
                <c:pt idx="1">
                  <c:v>Netherlands</c:v>
                </c:pt>
                <c:pt idx="2">
                  <c:v>Belgium</c:v>
                </c:pt>
                <c:pt idx="3">
                  <c:v>Germany</c:v>
                </c:pt>
              </c:strCache>
            </c:strRef>
          </c:cat>
          <c:val>
            <c:numRef>
              <c:f>Analysis!$B$22:$B$26</c:f>
              <c:numCache>
                <c:formatCode>0%</c:formatCode>
                <c:ptCount val="4"/>
                <c:pt idx="0">
                  <c:v>0.43887500852967287</c:v>
                </c:pt>
                <c:pt idx="1">
                  <c:v>0.43511394406710452</c:v>
                </c:pt>
                <c:pt idx="2">
                  <c:v>0.43325008497632422</c:v>
                </c:pt>
                <c:pt idx="3">
                  <c:v>0.40525559839847253</c:v>
                </c:pt>
              </c:numCache>
            </c:numRef>
          </c:val>
          <c:extLst>
            <c:ext xmlns:c16="http://schemas.microsoft.com/office/drawing/2014/chart" uri="{C3380CC4-5D6E-409C-BE32-E72D297353CC}">
              <c16:uniqueId val="{00000000-A2A8-4CB1-9845-52A855770BFA}"/>
            </c:ext>
          </c:extLst>
        </c:ser>
        <c:dLbls>
          <c:showLegendKey val="0"/>
          <c:showVal val="0"/>
          <c:showCatName val="0"/>
          <c:showSerName val="0"/>
          <c:showPercent val="0"/>
          <c:showBubbleSize val="0"/>
        </c:dLbls>
        <c:gapWidth val="100"/>
        <c:overlap val="-24"/>
        <c:axId val="1518650271"/>
        <c:axId val="1522020911"/>
      </c:barChart>
      <c:catAx>
        <c:axId val="151865027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020911"/>
        <c:crosses val="autoZero"/>
        <c:auto val="1"/>
        <c:lblAlgn val="ctr"/>
        <c:lblOffset val="100"/>
        <c:noMultiLvlLbl val="0"/>
      </c:catAx>
      <c:valAx>
        <c:axId val="15220209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650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[Portfolio_Khairnar_DeltaTech_Dashboard.xlsx]Analysis!PivotTable6</c:name>
    <c:fmtId val="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Analysis!$B$30</c:f>
              <c:strCache>
                <c:ptCount val="1"/>
                <c:pt idx="0">
                  <c:v>Sum of Revenue_EUR_Corrected</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Analysis!$A$31:$A$37</c:f>
              <c:strCache>
                <c:ptCount val="6"/>
                <c:pt idx="0">
                  <c:v>jan_2024</c:v>
                </c:pt>
                <c:pt idx="1">
                  <c:v>Feb_2024</c:v>
                </c:pt>
                <c:pt idx="2">
                  <c:v>Mar_2024</c:v>
                </c:pt>
                <c:pt idx="3">
                  <c:v>April_2024</c:v>
                </c:pt>
                <c:pt idx="4">
                  <c:v>May_2024</c:v>
                </c:pt>
                <c:pt idx="5">
                  <c:v>Jun_2024</c:v>
                </c:pt>
              </c:strCache>
            </c:strRef>
          </c:cat>
          <c:val>
            <c:numRef>
              <c:f>Analysis!$B$31:$B$37</c:f>
              <c:numCache>
                <c:formatCode>_ [$€-2]\ * #,##0.00_ ;_ [$€-2]\ * \-#,##0.00_ ;_ [$€-2]\ * "-"??_ ;_ @_ </c:formatCode>
                <c:ptCount val="6"/>
                <c:pt idx="0">
                  <c:v>790336.74554621847</c:v>
                </c:pt>
                <c:pt idx="1">
                  <c:v>705147.53609208402</c:v>
                </c:pt>
                <c:pt idx="2">
                  <c:v>734433.00717110373</c:v>
                </c:pt>
                <c:pt idx="3">
                  <c:v>784936.96000000008</c:v>
                </c:pt>
                <c:pt idx="4">
                  <c:v>791953.85000000009</c:v>
                </c:pt>
                <c:pt idx="5">
                  <c:v>766866.37999999977</c:v>
                </c:pt>
              </c:numCache>
            </c:numRef>
          </c:val>
          <c:smooth val="0"/>
          <c:extLst>
            <c:ext xmlns:c16="http://schemas.microsoft.com/office/drawing/2014/chart" uri="{C3380CC4-5D6E-409C-BE32-E72D297353CC}">
              <c16:uniqueId val="{00000000-6835-47C4-BDAD-1791782CA599}"/>
            </c:ext>
          </c:extLst>
        </c:ser>
        <c:ser>
          <c:idx val="1"/>
          <c:order val="1"/>
          <c:tx>
            <c:strRef>
              <c:f>Analysis!$C$30</c:f>
              <c:strCache>
                <c:ptCount val="1"/>
                <c:pt idx="0">
                  <c:v>Sum of Operating Profit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Analysis!$A$31:$A$37</c:f>
              <c:strCache>
                <c:ptCount val="6"/>
                <c:pt idx="0">
                  <c:v>jan_2024</c:v>
                </c:pt>
                <c:pt idx="1">
                  <c:v>Feb_2024</c:v>
                </c:pt>
                <c:pt idx="2">
                  <c:v>Mar_2024</c:v>
                </c:pt>
                <c:pt idx="3">
                  <c:v>April_2024</c:v>
                </c:pt>
                <c:pt idx="4">
                  <c:v>May_2024</c:v>
                </c:pt>
                <c:pt idx="5">
                  <c:v>Jun_2024</c:v>
                </c:pt>
              </c:strCache>
            </c:strRef>
          </c:cat>
          <c:val>
            <c:numRef>
              <c:f>Analysis!$C$31:$C$37</c:f>
              <c:numCache>
                <c:formatCode>General</c:formatCode>
                <c:ptCount val="6"/>
                <c:pt idx="0">
                  <c:v>220454.92554621858</c:v>
                </c:pt>
                <c:pt idx="1">
                  <c:v>177778.33609208406</c:v>
                </c:pt>
                <c:pt idx="2">
                  <c:v>171867.80717110375</c:v>
                </c:pt>
                <c:pt idx="3">
                  <c:v>216036.12000000011</c:v>
                </c:pt>
                <c:pt idx="4">
                  <c:v>225381.88000000012</c:v>
                </c:pt>
                <c:pt idx="5">
                  <c:v>219147.45999999973</c:v>
                </c:pt>
              </c:numCache>
            </c:numRef>
          </c:val>
          <c:smooth val="0"/>
          <c:extLst>
            <c:ext xmlns:c16="http://schemas.microsoft.com/office/drawing/2014/chart" uri="{C3380CC4-5D6E-409C-BE32-E72D297353CC}">
              <c16:uniqueId val="{00000001-6835-47C4-BDAD-1791782CA599}"/>
            </c:ext>
          </c:extLst>
        </c:ser>
        <c:ser>
          <c:idx val="2"/>
          <c:order val="2"/>
          <c:tx>
            <c:strRef>
              <c:f>Analysis!$D$30</c:f>
              <c:strCache>
                <c:ptCount val="1"/>
                <c:pt idx="0">
                  <c:v>Sum of Gross Margin %</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Analysis!$A$31:$A$37</c:f>
              <c:strCache>
                <c:ptCount val="6"/>
                <c:pt idx="0">
                  <c:v>jan_2024</c:v>
                </c:pt>
                <c:pt idx="1">
                  <c:v>Feb_2024</c:v>
                </c:pt>
                <c:pt idx="2">
                  <c:v>Mar_2024</c:v>
                </c:pt>
                <c:pt idx="3">
                  <c:v>April_2024</c:v>
                </c:pt>
                <c:pt idx="4">
                  <c:v>May_2024</c:v>
                </c:pt>
                <c:pt idx="5">
                  <c:v>Jun_2024</c:v>
                </c:pt>
              </c:strCache>
            </c:strRef>
          </c:cat>
          <c:val>
            <c:numRef>
              <c:f>Analysis!$D$31:$D$37</c:f>
              <c:numCache>
                <c:formatCode>0%</c:formatCode>
                <c:ptCount val="6"/>
                <c:pt idx="0">
                  <c:v>0.43720835136851349</c:v>
                </c:pt>
                <c:pt idx="1">
                  <c:v>0.40946314255344585</c:v>
                </c:pt>
                <c:pt idx="2">
                  <c:v>0.40031648128609787</c:v>
                </c:pt>
                <c:pt idx="3">
                  <c:v>0.4308278718331725</c:v>
                </c:pt>
                <c:pt idx="4">
                  <c:v>0.43857968491472082</c:v>
                </c:pt>
                <c:pt idx="5">
                  <c:v>0.44175831518393055</c:v>
                </c:pt>
              </c:numCache>
            </c:numRef>
          </c:val>
          <c:smooth val="0"/>
          <c:extLst>
            <c:ext xmlns:c16="http://schemas.microsoft.com/office/drawing/2014/chart" uri="{C3380CC4-5D6E-409C-BE32-E72D297353CC}">
              <c16:uniqueId val="{00000002-6835-47C4-BDAD-1791782CA599}"/>
            </c:ext>
          </c:extLst>
        </c:ser>
        <c:dLbls>
          <c:showLegendKey val="0"/>
          <c:showVal val="0"/>
          <c:showCatName val="0"/>
          <c:showSerName val="0"/>
          <c:showPercent val="0"/>
          <c:showBubbleSize val="0"/>
        </c:dLbls>
        <c:marker val="1"/>
        <c:smooth val="0"/>
        <c:axId val="1518684143"/>
        <c:axId val="1522060751"/>
      </c:lineChart>
      <c:catAx>
        <c:axId val="15186841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2060751"/>
        <c:crosses val="autoZero"/>
        <c:auto val="1"/>
        <c:lblAlgn val="ctr"/>
        <c:lblOffset val="100"/>
        <c:noMultiLvlLbl val="0"/>
      </c:catAx>
      <c:valAx>
        <c:axId val="15220607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sz="900" b="0" i="0" u="none" strike="noStrike" baseline="0"/>
                  <a:t>Gross Margin % Trend (H1 2024)</a:t>
                </a:r>
                <a:endParaRPr lang="en-IN"/>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_ [$€-2]\ * #,##0.00_ ;_ [$€-2]\ * \-#,##0.00_ ;_ [$€-2]\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684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7620</xdr:colOff>
      <xdr:row>4</xdr:row>
      <xdr:rowOff>15240</xdr:rowOff>
    </xdr:from>
    <xdr:to>
      <xdr:col>5</xdr:col>
      <xdr:colOff>259080</xdr:colOff>
      <xdr:row>9</xdr:row>
      <xdr:rowOff>121920</xdr:rowOff>
    </xdr:to>
    <xdr:grpSp>
      <xdr:nvGrpSpPr>
        <xdr:cNvPr id="16" name="Group 15">
          <a:extLst>
            <a:ext uri="{FF2B5EF4-FFF2-40B4-BE49-F238E27FC236}">
              <a16:creationId xmlns:a16="http://schemas.microsoft.com/office/drawing/2014/main" id="{F7D3F322-9D1A-C39B-2FEB-192C7EB980AA}"/>
            </a:ext>
          </a:extLst>
        </xdr:cNvPr>
        <xdr:cNvGrpSpPr/>
      </xdr:nvGrpSpPr>
      <xdr:grpSpPr>
        <a:xfrm>
          <a:off x="617220" y="755469"/>
          <a:ext cx="2689860" cy="1031965"/>
          <a:chOff x="617220" y="755469"/>
          <a:chExt cx="2689860" cy="1031965"/>
        </a:xfrm>
      </xdr:grpSpPr>
      <xdr:sp macro="" textlink="">
        <xdr:nvSpPr>
          <xdr:cNvPr id="2" name="Flowchart: Terminator 1">
            <a:extLst>
              <a:ext uri="{FF2B5EF4-FFF2-40B4-BE49-F238E27FC236}">
                <a16:creationId xmlns:a16="http://schemas.microsoft.com/office/drawing/2014/main" id="{891670A3-C883-8BF8-8D64-3B2496113B49}"/>
              </a:ext>
            </a:extLst>
          </xdr:cNvPr>
          <xdr:cNvSpPr/>
        </xdr:nvSpPr>
        <xdr:spPr>
          <a:xfrm>
            <a:off x="617220" y="755469"/>
            <a:ext cx="2689860" cy="1031965"/>
          </a:xfrm>
          <a:prstGeom prst="flowChartTerminator">
            <a:avLst/>
          </a:prstGeom>
          <a:solidFill>
            <a:schemeClr val="bg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800" b="1"/>
              <a:t>Total True Revenue</a:t>
            </a:r>
          </a:p>
        </xdr:txBody>
      </xdr:sp>
      <xdr:sp macro="" textlink="Analysis!B10">
        <xdr:nvSpPr>
          <xdr:cNvPr id="6" name="TextBox 5">
            <a:extLst>
              <a:ext uri="{FF2B5EF4-FFF2-40B4-BE49-F238E27FC236}">
                <a16:creationId xmlns:a16="http://schemas.microsoft.com/office/drawing/2014/main" id="{9B4B5F5F-46B4-0E40-C43A-97BA227EA7F6}"/>
              </a:ext>
            </a:extLst>
          </xdr:cNvPr>
          <xdr:cNvSpPr txBox="1"/>
        </xdr:nvSpPr>
        <xdr:spPr>
          <a:xfrm>
            <a:off x="1077685" y="1230085"/>
            <a:ext cx="1785258"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8CD2DA-5D05-4BDF-98F3-39D0EBA6E0BC}" type="TxLink">
              <a:rPr lang="en-US" sz="2000" b="1" i="0" u="none" strike="noStrike">
                <a:solidFill>
                  <a:srgbClr val="000000"/>
                </a:solidFill>
                <a:latin typeface="Calibri"/>
                <a:ea typeface="Calibri"/>
                <a:cs typeface="Calibri"/>
              </a:rPr>
              <a:pPr algn="ctr"/>
              <a:t> € 45,73,674.48 </a:t>
            </a:fld>
            <a:endParaRPr lang="en-IN" sz="2000" b="1"/>
          </a:p>
        </xdr:txBody>
      </xdr:sp>
    </xdr:grpSp>
    <xdr:clientData/>
  </xdr:twoCellAnchor>
  <xdr:twoCellAnchor>
    <xdr:from>
      <xdr:col>7</xdr:col>
      <xdr:colOff>38100</xdr:colOff>
      <xdr:row>3</xdr:row>
      <xdr:rowOff>180340</xdr:rowOff>
    </xdr:from>
    <xdr:to>
      <xdr:col>23</xdr:col>
      <xdr:colOff>267970</xdr:colOff>
      <xdr:row>9</xdr:row>
      <xdr:rowOff>144780</xdr:rowOff>
    </xdr:to>
    <xdr:grpSp>
      <xdr:nvGrpSpPr>
        <xdr:cNvPr id="17" name="Group 16">
          <a:extLst>
            <a:ext uri="{FF2B5EF4-FFF2-40B4-BE49-F238E27FC236}">
              <a16:creationId xmlns:a16="http://schemas.microsoft.com/office/drawing/2014/main" id="{1853ECEB-FC34-FE4F-3C3C-36B7BB1A3FE9}"/>
            </a:ext>
          </a:extLst>
        </xdr:cNvPr>
        <xdr:cNvGrpSpPr/>
      </xdr:nvGrpSpPr>
      <xdr:grpSpPr>
        <a:xfrm>
          <a:off x="4305300" y="735511"/>
          <a:ext cx="9983470" cy="1074783"/>
          <a:chOff x="4305300" y="735511"/>
          <a:chExt cx="9983470" cy="1074783"/>
        </a:xfrm>
      </xdr:grpSpPr>
      <xdr:sp macro="" textlink="">
        <xdr:nvSpPr>
          <xdr:cNvPr id="3" name="Flowchart: Terminator 2">
            <a:extLst>
              <a:ext uri="{FF2B5EF4-FFF2-40B4-BE49-F238E27FC236}">
                <a16:creationId xmlns:a16="http://schemas.microsoft.com/office/drawing/2014/main" id="{BF26AC9E-891D-4BE3-8548-6AACD814C2AF}"/>
              </a:ext>
            </a:extLst>
          </xdr:cNvPr>
          <xdr:cNvSpPr/>
        </xdr:nvSpPr>
        <xdr:spPr>
          <a:xfrm>
            <a:off x="11598910" y="770709"/>
            <a:ext cx="2689860" cy="1039585"/>
          </a:xfrm>
          <a:prstGeom prst="flowChartTerminator">
            <a:avLst/>
          </a:prstGeom>
          <a:solidFill>
            <a:schemeClr val="bg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800" b="1"/>
              <a:t>Best / Worst Country: </a:t>
            </a:r>
          </a:p>
        </xdr:txBody>
      </xdr:sp>
      <xdr:sp macro="" textlink="">
        <xdr:nvSpPr>
          <xdr:cNvPr id="4" name="Flowchart: Terminator 3">
            <a:extLst>
              <a:ext uri="{FF2B5EF4-FFF2-40B4-BE49-F238E27FC236}">
                <a16:creationId xmlns:a16="http://schemas.microsoft.com/office/drawing/2014/main" id="{A293CEEE-2D13-4BAC-99F9-4824D950CF96}"/>
              </a:ext>
            </a:extLst>
          </xdr:cNvPr>
          <xdr:cNvSpPr/>
        </xdr:nvSpPr>
        <xdr:spPr>
          <a:xfrm>
            <a:off x="7947660" y="735511"/>
            <a:ext cx="2689860" cy="1034143"/>
          </a:xfrm>
          <a:prstGeom prst="flowChartTerminator">
            <a:avLst/>
          </a:prstGeom>
          <a:solidFill>
            <a:schemeClr val="bg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800" b="1"/>
              <a:t>Blended Gross Margin:</a:t>
            </a:r>
          </a:p>
        </xdr:txBody>
      </xdr:sp>
      <xdr:sp macro="" textlink="">
        <xdr:nvSpPr>
          <xdr:cNvPr id="5" name="Flowchart: Terminator 4">
            <a:extLst>
              <a:ext uri="{FF2B5EF4-FFF2-40B4-BE49-F238E27FC236}">
                <a16:creationId xmlns:a16="http://schemas.microsoft.com/office/drawing/2014/main" id="{BFB7F929-7C14-475B-A9AD-20BE42EE441D}"/>
              </a:ext>
            </a:extLst>
          </xdr:cNvPr>
          <xdr:cNvSpPr/>
        </xdr:nvSpPr>
        <xdr:spPr>
          <a:xfrm>
            <a:off x="4305300" y="740229"/>
            <a:ext cx="2689860" cy="1031965"/>
          </a:xfrm>
          <a:prstGeom prst="flowChartTerminator">
            <a:avLst/>
          </a:prstGeom>
          <a:solidFill>
            <a:schemeClr val="bg2"/>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800" b="1"/>
              <a:t>Group Operating Profit</a:t>
            </a:r>
          </a:p>
        </xdr:txBody>
      </xdr:sp>
      <xdr:sp macro="" textlink="Analysis!C10">
        <xdr:nvSpPr>
          <xdr:cNvPr id="7" name="TextBox 6">
            <a:extLst>
              <a:ext uri="{FF2B5EF4-FFF2-40B4-BE49-F238E27FC236}">
                <a16:creationId xmlns:a16="http://schemas.microsoft.com/office/drawing/2014/main" id="{CCE00587-2324-4DE0-516D-4DF8BD5980AF}"/>
              </a:ext>
            </a:extLst>
          </xdr:cNvPr>
          <xdr:cNvSpPr txBox="1"/>
        </xdr:nvSpPr>
        <xdr:spPr>
          <a:xfrm>
            <a:off x="4659086" y="1317171"/>
            <a:ext cx="2024743" cy="3374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A1AFD5E-4AFA-463A-A84C-7A0B89528F98}" type="TxLink">
              <a:rPr lang="en-US" sz="2000" b="1" i="0" u="none" strike="noStrike">
                <a:solidFill>
                  <a:srgbClr val="000000"/>
                </a:solidFill>
                <a:latin typeface="Calibri"/>
                <a:ea typeface="Calibri"/>
                <a:cs typeface="Calibri"/>
              </a:rPr>
              <a:pPr algn="ctr"/>
              <a:t> € 12,30,666.53 </a:t>
            </a:fld>
            <a:endParaRPr lang="en-IN" sz="2000" b="1"/>
          </a:p>
        </xdr:txBody>
      </xdr:sp>
      <xdr:sp macro="" textlink="Analysis!E10">
        <xdr:nvSpPr>
          <xdr:cNvPr id="8" name="TextBox 7">
            <a:extLst>
              <a:ext uri="{FF2B5EF4-FFF2-40B4-BE49-F238E27FC236}">
                <a16:creationId xmlns:a16="http://schemas.microsoft.com/office/drawing/2014/main" id="{104085F0-8BCD-C390-CC8E-ED4779CCBCB5}"/>
              </a:ext>
            </a:extLst>
          </xdr:cNvPr>
          <xdr:cNvSpPr txBox="1"/>
        </xdr:nvSpPr>
        <xdr:spPr>
          <a:xfrm>
            <a:off x="8262257" y="1273628"/>
            <a:ext cx="2068286" cy="3483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D385F4-4D94-4D50-AC1F-F9E1BCC82EEC}" type="TxLink">
              <a:rPr lang="en-US" sz="2400" b="1" i="0" u="none" strike="noStrike">
                <a:solidFill>
                  <a:srgbClr val="000000"/>
                </a:solidFill>
                <a:latin typeface="Calibri"/>
                <a:ea typeface="Calibri"/>
                <a:cs typeface="Calibri"/>
              </a:rPr>
              <a:t>43%</a:t>
            </a:fld>
            <a:endParaRPr lang="en-IN" sz="4800" b="1"/>
          </a:p>
        </xdr:txBody>
      </xdr:sp>
      <xdr:sp macro="" textlink="Analysis!D13">
        <xdr:nvSpPr>
          <xdr:cNvPr id="9" name="TextBox 8">
            <a:extLst>
              <a:ext uri="{FF2B5EF4-FFF2-40B4-BE49-F238E27FC236}">
                <a16:creationId xmlns:a16="http://schemas.microsoft.com/office/drawing/2014/main" id="{C82856D2-94C5-F99E-D403-6C80FD4CAFB1}"/>
              </a:ext>
            </a:extLst>
          </xdr:cNvPr>
          <xdr:cNvSpPr txBox="1"/>
        </xdr:nvSpPr>
        <xdr:spPr>
          <a:xfrm>
            <a:off x="12192000" y="1186543"/>
            <a:ext cx="1872343" cy="6095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5210EE-A683-4EBB-A8EF-EF14115D2EB1}" type="TxLink">
              <a:rPr lang="en-US" sz="1600" b="1" i="0" u="none" strike="noStrike">
                <a:solidFill>
                  <a:srgbClr val="000000"/>
                </a:solidFill>
                <a:latin typeface="Calibri"/>
                <a:ea typeface="Calibri"/>
                <a:cs typeface="Calibri"/>
              </a:rPr>
              <a:t>Best: France | Worst: Germany</a:t>
            </a:fld>
            <a:endParaRPr lang="en-IN" sz="1600" b="1"/>
          </a:p>
        </xdr:txBody>
      </xdr:sp>
    </xdr:grpSp>
    <xdr:clientData/>
  </xdr:twoCellAnchor>
  <xdr:twoCellAnchor>
    <xdr:from>
      <xdr:col>1</xdr:col>
      <xdr:colOff>10341</xdr:colOff>
      <xdr:row>11</xdr:row>
      <xdr:rowOff>10885</xdr:rowOff>
    </xdr:from>
    <xdr:to>
      <xdr:col>16</xdr:col>
      <xdr:colOff>576943</xdr:colOff>
      <xdr:row>28</xdr:row>
      <xdr:rowOff>163286</xdr:rowOff>
    </xdr:to>
    <xdr:graphicFrame macro="">
      <xdr:nvGraphicFramePr>
        <xdr:cNvPr id="10" name="Chart 1">
          <a:extLst>
            <a:ext uri="{FF2B5EF4-FFF2-40B4-BE49-F238E27FC236}">
              <a16:creationId xmlns:a16="http://schemas.microsoft.com/office/drawing/2014/main" id="{80F133C8-FA84-262C-A954-6F3BD4366A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608511</xdr:colOff>
      <xdr:row>28</xdr:row>
      <xdr:rowOff>176348</xdr:rowOff>
    </xdr:from>
    <xdr:to>
      <xdr:col>16</xdr:col>
      <xdr:colOff>576943</xdr:colOff>
      <xdr:row>46</xdr:row>
      <xdr:rowOff>21771</xdr:rowOff>
    </xdr:to>
    <xdr:graphicFrame macro="">
      <xdr:nvGraphicFramePr>
        <xdr:cNvPr id="11" name="Chart 2">
          <a:extLst>
            <a:ext uri="{FF2B5EF4-FFF2-40B4-BE49-F238E27FC236}">
              <a16:creationId xmlns:a16="http://schemas.microsoft.com/office/drawing/2014/main" id="{65E1DAE5-5369-CE22-75BF-C6AA49CDD0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9796</xdr:colOff>
      <xdr:row>46</xdr:row>
      <xdr:rowOff>23948</xdr:rowOff>
    </xdr:from>
    <xdr:to>
      <xdr:col>16</xdr:col>
      <xdr:colOff>598713</xdr:colOff>
      <xdr:row>61</xdr:row>
      <xdr:rowOff>163285</xdr:rowOff>
    </xdr:to>
    <xdr:graphicFrame macro="">
      <xdr:nvGraphicFramePr>
        <xdr:cNvPr id="12" name="Chart 3">
          <a:extLst>
            <a:ext uri="{FF2B5EF4-FFF2-40B4-BE49-F238E27FC236}">
              <a16:creationId xmlns:a16="http://schemas.microsoft.com/office/drawing/2014/main" id="{B7509B69-EE67-D1CA-F13D-31C9242E37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43542</xdr:colOff>
      <xdr:row>28</xdr:row>
      <xdr:rowOff>167640</xdr:rowOff>
    </xdr:from>
    <xdr:to>
      <xdr:col>22</xdr:col>
      <xdr:colOff>10885</xdr:colOff>
      <xdr:row>45</xdr:row>
      <xdr:rowOff>152400</xdr:rowOff>
    </xdr:to>
    <mc:AlternateContent xmlns:mc="http://schemas.openxmlformats.org/markup-compatibility/2006">
      <mc:Choice xmlns:a14="http://schemas.microsoft.com/office/drawing/2010/main" Requires="a14">
        <xdr:graphicFrame macro="">
          <xdr:nvGraphicFramePr>
            <xdr:cNvPr id="13" name="Country">
              <a:extLst>
                <a:ext uri="{FF2B5EF4-FFF2-40B4-BE49-F238E27FC236}">
                  <a16:creationId xmlns:a16="http://schemas.microsoft.com/office/drawing/2014/main" id="{CF29E8EC-C4B7-5F2F-B66F-5EB01113F39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016342" y="5349240"/>
              <a:ext cx="2405743" cy="31307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22859</xdr:colOff>
      <xdr:row>10</xdr:row>
      <xdr:rowOff>179615</xdr:rowOff>
    </xdr:from>
    <xdr:to>
      <xdr:col>21</xdr:col>
      <xdr:colOff>576942</xdr:colOff>
      <xdr:row>28</xdr:row>
      <xdr:rowOff>163286</xdr:rowOff>
    </xdr:to>
    <mc:AlternateContent xmlns:mc="http://schemas.openxmlformats.org/markup-compatibility/2006">
      <mc:Choice xmlns:a14="http://schemas.microsoft.com/office/drawing/2010/main" Requires="a14">
        <xdr:graphicFrame macro="">
          <xdr:nvGraphicFramePr>
            <xdr:cNvPr id="14" name="ProductLine">
              <a:extLst>
                <a:ext uri="{FF2B5EF4-FFF2-40B4-BE49-F238E27FC236}">
                  <a16:creationId xmlns:a16="http://schemas.microsoft.com/office/drawing/2014/main" id="{C9267C38-28A3-F33C-6FF8-B003DC617773}"/>
                </a:ext>
              </a:extLst>
            </xdr:cNvPr>
            <xdr:cNvGraphicFramePr/>
          </xdr:nvGraphicFramePr>
          <xdr:xfrm>
            <a:off x="0" y="0"/>
            <a:ext cx="0" cy="0"/>
          </xdr:xfrm>
          <a:graphic>
            <a:graphicData uri="http://schemas.microsoft.com/office/drawing/2010/slicer">
              <sle:slicer xmlns:sle="http://schemas.microsoft.com/office/drawing/2010/slicer" name="ProductLine"/>
            </a:graphicData>
          </a:graphic>
        </xdr:graphicFrame>
      </mc:Choice>
      <mc:Fallback>
        <xdr:sp macro="" textlink="">
          <xdr:nvSpPr>
            <xdr:cNvPr id="0" name=""/>
            <xdr:cNvSpPr>
              <a:spLocks noTextEdit="1"/>
            </xdr:cNvSpPr>
          </xdr:nvSpPr>
          <xdr:spPr>
            <a:xfrm>
              <a:off x="10995659" y="2030186"/>
              <a:ext cx="2382883" cy="3314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56607</xdr:colOff>
      <xdr:row>46</xdr:row>
      <xdr:rowOff>17418</xdr:rowOff>
    </xdr:from>
    <xdr:to>
      <xdr:col>21</xdr:col>
      <xdr:colOff>587828</xdr:colOff>
      <xdr:row>61</xdr:row>
      <xdr:rowOff>163285</xdr:rowOff>
    </xdr:to>
    <mc:AlternateContent xmlns:mc="http://schemas.openxmlformats.org/markup-compatibility/2006">
      <mc:Choice xmlns:a14="http://schemas.microsoft.com/office/drawing/2010/main" Requires="a14">
        <xdr:graphicFrame macro="">
          <xdr:nvGraphicFramePr>
            <xdr:cNvPr id="15" name="Month">
              <a:extLst>
                <a:ext uri="{FF2B5EF4-FFF2-40B4-BE49-F238E27FC236}">
                  <a16:creationId xmlns:a16="http://schemas.microsoft.com/office/drawing/2014/main" id="{CFC71370-42BB-5477-CF80-7B1B1440575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1029407" y="8530047"/>
              <a:ext cx="2360021" cy="2921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shmi Khairnar" refreshedDate="46278.948456597223" createdVersion="8" refreshedVersion="8" minRefreshableVersion="3" recordCount="233" xr:uid="{B08117F9-BA46-4301-8099-E2D2B4B3F169}">
  <cacheSource type="worksheet">
    <worksheetSource name="Combined_Data"/>
  </cacheSource>
  <cacheFields count="12">
    <cacheField name="Country" numFmtId="0">
      <sharedItems count="4">
        <s v="Netherlands"/>
        <s v="Germany"/>
        <s v="Belgium"/>
        <s v="France"/>
      </sharedItems>
    </cacheField>
    <cacheField name="ProductLine" numFmtId="0">
      <sharedItems count="5">
        <s v="Industrial Sensors"/>
        <s v="Power Supplies"/>
        <s v="Control Modules"/>
        <s v="Connectors &amp; Cables"/>
        <s v="Automation Software"/>
      </sharedItems>
    </cacheField>
    <cacheField name="CustomerSegment" numFmtId="0">
      <sharedItems/>
    </cacheField>
    <cacheField name="COGS_EUR" numFmtId="0">
      <sharedItems containsSemiMixedTypes="0" containsString="0" containsNumber="1" minValue="3170.47" maxValue="26459.66"/>
    </cacheField>
    <cacheField name="OperatingExpenses_EUR" numFmtId="0">
      <sharedItems containsString="0" containsBlank="1" containsNumber="1" minValue="866.52" maxValue="8958.0300000000007"/>
    </cacheField>
    <cacheField name="UnitsSold" numFmtId="0">
      <sharedItems containsSemiMixedTypes="0" containsString="0" containsNumber="1" containsInteger="1" minValue="38" maxValue="456"/>
    </cacheField>
    <cacheField name="Month" numFmtId="0">
      <sharedItems count="6">
        <s v="jan_2024"/>
        <s v="Feb_2024"/>
        <s v="Mar_2024"/>
        <s v="April_2024"/>
        <s v="May_2024"/>
        <s v="Jun_2024"/>
      </sharedItems>
    </cacheField>
    <cacheField name="Revenue_EUR_Corrected" numFmtId="0">
      <sharedItems containsSemiMixedTypes="0" containsString="0" containsNumber="1" minValue="6865.62" maxValue="47368.336134453784"/>
    </cacheField>
    <cacheField name="OperatingExpenses_Eur2" numFmtId="0">
      <sharedItems containsString="0" containsBlank="1" containsNumber="1" minValue="866.52" maxValue="8958.0300000000007"/>
    </cacheField>
    <cacheField name="Operating Profit" numFmtId="0" formula="Revenue_EUR_Corrected-COGS_EUR -OperatingExpenses_Eur2" databaseField="0"/>
    <cacheField name="Gross Margin %" numFmtId="0" formula="(Revenue_EUR_Corrected-COGS_EUR )/Revenue_EUR_Corrected" databaseField="0"/>
    <cacheField name="Operating Margin" numFmtId="0" formula="'Operating Profit'/Revenue_EUR_Corrected" databaseField="0"/>
  </cacheFields>
  <extLst>
    <ext xmlns:x14="http://schemas.microsoft.com/office/spreadsheetml/2009/9/main" uri="{725AE2AE-9491-48be-B2B4-4EB974FC3084}">
      <x14:pivotCacheDefinition pivotCacheId="13327426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
  <r>
    <x v="0"/>
    <x v="0"/>
    <s v="Enterprise"/>
    <n v="20390.2"/>
    <n v="5080.55"/>
    <n v="194"/>
    <x v="0"/>
    <n v="36322.18"/>
    <n v="5080.55"/>
  </r>
  <r>
    <x v="0"/>
    <x v="0"/>
    <s v="SMB"/>
    <n v="14579.42"/>
    <n v="4884.6000000000004"/>
    <n v="168"/>
    <x v="0"/>
    <n v="25040.21"/>
    <n v="4884.6000000000004"/>
  </r>
  <r>
    <x v="0"/>
    <x v="1"/>
    <s v="Enterprise"/>
    <n v="19878.060000000001"/>
    <n v="5608.71"/>
    <n v="150"/>
    <x v="0"/>
    <n v="30189.07"/>
    <n v="5608.71"/>
  </r>
  <r>
    <x v="0"/>
    <x v="1"/>
    <s v="SMB"/>
    <n v="10747.04"/>
    <n v="2112.39"/>
    <n v="92"/>
    <x v="0"/>
    <n v="16680.64"/>
    <n v="2112.39"/>
  </r>
  <r>
    <x v="0"/>
    <x v="2"/>
    <s v="Enterprise"/>
    <n v="13087.02"/>
    <n v="2937.59"/>
    <n v="224"/>
    <x v="0"/>
    <n v="24356.23"/>
    <n v="2937.59"/>
  </r>
  <r>
    <x v="0"/>
    <x v="2"/>
    <s v="SMB"/>
    <n v="8813.17"/>
    <n v="2595.21"/>
    <n v="71"/>
    <x v="0"/>
    <n v="15407.28"/>
    <n v="2595.21"/>
  </r>
  <r>
    <x v="0"/>
    <x v="3"/>
    <s v="Enterprise"/>
    <n v="11738.81"/>
    <n v="2731.45"/>
    <n v="74"/>
    <x v="0"/>
    <n v="16294.2"/>
    <n v="2731.45"/>
  </r>
  <r>
    <x v="0"/>
    <x v="3"/>
    <s v="SMB"/>
    <n v="6608.64"/>
    <n v="1565.32"/>
    <n v="50"/>
    <x v="0"/>
    <n v="9913.48"/>
    <n v="1565.32"/>
  </r>
  <r>
    <x v="0"/>
    <x v="4"/>
    <s v="Enterprise"/>
    <n v="7260.32"/>
    <n v="3085.41"/>
    <n v="207"/>
    <x v="0"/>
    <n v="20503.099999999999"/>
    <n v="3085.41"/>
  </r>
  <r>
    <x v="0"/>
    <x v="4"/>
    <s v="SMB"/>
    <n v="5361.98"/>
    <n v="2348.3200000000002"/>
    <n v="96"/>
    <x v="0"/>
    <n v="15107.77"/>
    <n v="2348.3200000000002"/>
  </r>
  <r>
    <x v="1"/>
    <x v="0"/>
    <s v="Enterprise"/>
    <n v="26459.66"/>
    <n v="8958.0300000000007"/>
    <n v="288"/>
    <x v="0"/>
    <n v="47368.336134453784"/>
    <n v="8958.0300000000007"/>
  </r>
  <r>
    <x v="1"/>
    <x v="0"/>
    <s v="SMB"/>
    <n v="14916.39"/>
    <n v="3523.92"/>
    <n v="256"/>
    <x v="0"/>
    <n v="26799.310924369751"/>
    <n v="3523.92"/>
  </r>
  <r>
    <x v="1"/>
    <x v="1"/>
    <s v="Enterprise"/>
    <n v="21801.88"/>
    <n v="5548.48"/>
    <n v="307"/>
    <x v="0"/>
    <n v="34693.016806722691"/>
    <n v="5548.48"/>
  </r>
  <r>
    <x v="1"/>
    <x v="1"/>
    <s v="SMB"/>
    <n v="12762.91"/>
    <n v="3136.76"/>
    <n v="240"/>
    <x v="0"/>
    <n v="19592.663865546219"/>
    <n v="3136.76"/>
  </r>
  <r>
    <x v="1"/>
    <x v="2"/>
    <s v="Enterprise"/>
    <n v="15620.16"/>
    <n v="4180.7299999999996"/>
    <n v="199"/>
    <x v="0"/>
    <n v="27513.352941176472"/>
    <n v="4180.7299999999996"/>
  </r>
  <r>
    <x v="1"/>
    <x v="2"/>
    <s v="SMB"/>
    <n v="10824.59"/>
    <n v="3356"/>
    <n v="139"/>
    <x v="0"/>
    <n v="18882.285714285714"/>
    <n v="3356"/>
  </r>
  <r>
    <x v="1"/>
    <x v="3"/>
    <s v="Enterprise"/>
    <n v="13361.72"/>
    <n v="2399.29"/>
    <n v="105"/>
    <x v="0"/>
    <n v="18677.336134453781"/>
    <n v="2399.29"/>
  </r>
  <r>
    <x v="1"/>
    <x v="3"/>
    <s v="SMB"/>
    <n v="9201.4500000000007"/>
    <n v="1939.69"/>
    <n v="91"/>
    <x v="0"/>
    <n v="12872.521008403361"/>
    <n v="1939.69"/>
  </r>
  <r>
    <x v="1"/>
    <x v="4"/>
    <s v="Enterprise"/>
    <n v="9313.6299999999992"/>
    <n v="4370.93"/>
    <n v="131"/>
    <x v="0"/>
    <n v="27275.319327731093"/>
    <n v="4370.93"/>
  </r>
  <r>
    <x v="1"/>
    <x v="4"/>
    <s v="SMB"/>
    <n v="5732.55"/>
    <n v="2207.11"/>
    <n v="77"/>
    <x v="0"/>
    <n v="15703.722689075632"/>
    <n v="2207.11"/>
  </r>
  <r>
    <x v="2"/>
    <x v="0"/>
    <s v="Enterprise"/>
    <n v="15177.35"/>
    <n v="4328.01"/>
    <n v="117"/>
    <x v="0"/>
    <n v="25709.599999999999"/>
    <n v="4328.01"/>
  </r>
  <r>
    <x v="2"/>
    <x v="0"/>
    <s v="SMB"/>
    <n v="9878.2900000000009"/>
    <n v="2420.58"/>
    <n v="94"/>
    <x v="0"/>
    <n v="16396.21"/>
    <n v="2420.58"/>
  </r>
  <r>
    <x v="2"/>
    <x v="1"/>
    <s v="Enterprise"/>
    <n v="13921.15"/>
    <n v="3918.29"/>
    <n v="183"/>
    <x v="0"/>
    <n v="21392.79"/>
    <n v="3918.29"/>
  </r>
  <r>
    <x v="2"/>
    <x v="2"/>
    <s v="Enterprise"/>
    <n v="8393.9500000000007"/>
    <n v="2703.47"/>
    <n v="84"/>
    <x v="0"/>
    <n v="15556.47"/>
    <n v="2703.47"/>
  </r>
  <r>
    <x v="2"/>
    <x v="2"/>
    <s v="SMB"/>
    <n v="5700.51"/>
    <n v="1921.06"/>
    <n v="58"/>
    <x v="0"/>
    <n v="10679.29"/>
    <n v="1921.06"/>
  </r>
  <r>
    <x v="2"/>
    <x v="3"/>
    <s v="Enterprise"/>
    <n v="9264.43"/>
    <n v="2158.41"/>
    <n v="106"/>
    <x v="0"/>
    <n v="12811.44"/>
    <n v="2158.41"/>
  </r>
  <r>
    <x v="2"/>
    <x v="3"/>
    <s v="SMB"/>
    <n v="5406.35"/>
    <n v="988.51"/>
    <n v="91"/>
    <x v="0"/>
    <n v="8065.69"/>
    <n v="988.51"/>
  </r>
  <r>
    <x v="2"/>
    <x v="4"/>
    <s v="Enterprise"/>
    <n v="5909.58"/>
    <n v="2403.6999999999998"/>
    <n v="90"/>
    <x v="0"/>
    <n v="16737.22"/>
    <n v="2403.6999999999998"/>
  </r>
  <r>
    <x v="2"/>
    <x v="4"/>
    <s v="SMB"/>
    <n v="3183.87"/>
    <n v="1475.33"/>
    <n v="95"/>
    <x v="0"/>
    <n v="9405.02"/>
    <n v="1475.33"/>
  </r>
  <r>
    <x v="3"/>
    <x v="0"/>
    <s v="Enterprise"/>
    <n v="20132.04"/>
    <n v="6112.98"/>
    <n v="264"/>
    <x v="0"/>
    <n v="34496.94"/>
    <n v="6112.98"/>
  </r>
  <r>
    <x v="3"/>
    <x v="0"/>
    <s v="SMB"/>
    <n v="13942.82"/>
    <n v="3174.52"/>
    <n v="113"/>
    <x v="0"/>
    <n v="23568.57"/>
    <n v="3174.52"/>
  </r>
  <r>
    <x v="3"/>
    <x v="1"/>
    <s v="Enterprise"/>
    <n v="17920.59"/>
    <n v="3748.63"/>
    <n v="310"/>
    <x v="0"/>
    <n v="28067.3"/>
    <n v="3748.63"/>
  </r>
  <r>
    <x v="3"/>
    <x v="1"/>
    <s v="SMB"/>
    <n v="9246.36"/>
    <n v="2344.7199999999998"/>
    <n v="115"/>
    <x v="0"/>
    <n v="14697.67"/>
    <n v="2344.7199999999998"/>
  </r>
  <r>
    <x v="3"/>
    <x v="2"/>
    <s v="Enterprise"/>
    <n v="11332.18"/>
    <n v="3152.26"/>
    <n v="185"/>
    <x v="0"/>
    <n v="21661"/>
    <n v="3152.26"/>
  </r>
  <r>
    <x v="3"/>
    <x v="2"/>
    <s v="SMB"/>
    <n v="7290.72"/>
    <n v="2233.9899999999998"/>
    <n v="88"/>
    <x v="0"/>
    <n v="13883.74"/>
    <n v="2233.9899999999998"/>
  </r>
  <r>
    <x v="3"/>
    <x v="3"/>
    <s v="Enterprise"/>
    <n v="11513.39"/>
    <n v="3058.59"/>
    <n v="172"/>
    <x v="0"/>
    <n v="16584.16"/>
    <n v="3058.59"/>
  </r>
  <r>
    <x v="3"/>
    <x v="3"/>
    <s v="SMB"/>
    <n v="6834.77"/>
    <n v="1318.65"/>
    <n v="61"/>
    <x v="0"/>
    <n v="9706.01"/>
    <n v="1318.65"/>
  </r>
  <r>
    <x v="3"/>
    <x v="4"/>
    <s v="Enterprise"/>
    <n v="6580.36"/>
    <n v="3287.73"/>
    <n v="94"/>
    <x v="0"/>
    <n v="18472.46"/>
    <n v="3287.73"/>
  </r>
  <r>
    <x v="3"/>
    <x v="4"/>
    <s v="SMB"/>
    <n v="4706.6099999999997"/>
    <n v="1766.98"/>
    <n v="65"/>
    <x v="0"/>
    <n v="13253.14"/>
    <n v="1766.98"/>
  </r>
  <r>
    <x v="0"/>
    <x v="0"/>
    <s v="Enterprise"/>
    <n v="20724.3"/>
    <n v="5513.09"/>
    <n v="223"/>
    <x v="1"/>
    <n v="37404.230000000003"/>
    <n v="5513.09"/>
  </r>
  <r>
    <x v="0"/>
    <x v="1"/>
    <s v="Enterprise"/>
    <n v="19869.84"/>
    <n v="6014.13"/>
    <n v="189"/>
    <x v="1"/>
    <n v="30192.87"/>
    <n v="6014.13"/>
  </r>
  <r>
    <x v="0"/>
    <x v="1"/>
    <s v="SMB"/>
    <n v="12761.51"/>
    <n v="2554.15"/>
    <n v="93"/>
    <x v="1"/>
    <n v="19216.490000000002"/>
    <n v="2554.15"/>
  </r>
  <r>
    <x v="0"/>
    <x v="2"/>
    <s v="Enterprise"/>
    <n v="12554.49"/>
    <n v="3628.12"/>
    <n v="195"/>
    <x v="1"/>
    <n v="23912.95"/>
    <n v="3628.12"/>
  </r>
  <r>
    <x v="0"/>
    <x v="2"/>
    <s v="SMB"/>
    <n v="9473.91"/>
    <n v="2400.23"/>
    <n v="171"/>
    <x v="1"/>
    <n v="16707.87"/>
    <n v="2400.23"/>
  </r>
  <r>
    <x v="0"/>
    <x v="3"/>
    <s v="Enterprise"/>
    <n v="11623.13"/>
    <n v="3060.91"/>
    <n v="94"/>
    <x v="1"/>
    <n v="16305.19"/>
    <n v="3060.91"/>
  </r>
  <r>
    <x v="0"/>
    <x v="3"/>
    <s v="SMB"/>
    <n v="7287.79"/>
    <n v="1471.85"/>
    <n v="105"/>
    <x v="1"/>
    <n v="10655.49"/>
    <n v="1471.85"/>
  </r>
  <r>
    <x v="0"/>
    <x v="4"/>
    <s v="Enterprise"/>
    <n v="8031.81"/>
    <n v="4100.6899999999996"/>
    <n v="122"/>
    <x v="1"/>
    <n v="23135.200000000001"/>
    <n v="4100.6899999999996"/>
  </r>
  <r>
    <x v="0"/>
    <x v="4"/>
    <s v="SMB"/>
    <n v="4286.1000000000004"/>
    <m/>
    <n v="63"/>
    <x v="1"/>
    <n v="12570.62"/>
    <m/>
  </r>
  <r>
    <x v="1"/>
    <x v="0"/>
    <s v="Enterprise"/>
    <n v="24532.53"/>
    <n v="6892.5"/>
    <n v="456"/>
    <x v="1"/>
    <n v="34002.53513169974"/>
    <n v="6892.5"/>
  </r>
  <r>
    <x v="1"/>
    <x v="0"/>
    <s v="SMB"/>
    <n v="16085.27"/>
    <n v="5593.68"/>
    <n v="338"/>
    <x v="1"/>
    <n v="24153.386060306479"/>
    <n v="5593.68"/>
  </r>
  <r>
    <x v="1"/>
    <x v="1"/>
    <s v="Enterprise"/>
    <n v="19042.25"/>
    <n v="4344.5200000000004"/>
    <n v="299"/>
    <x v="1"/>
    <n v="24784.28077113198"/>
    <n v="4344.5200000000004"/>
  </r>
  <r>
    <x v="1"/>
    <x v="1"/>
    <s v="SMB"/>
    <n v="12556.11"/>
    <n v="3342.8"/>
    <n v="184"/>
    <x v="1"/>
    <n v="16939.418120189253"/>
    <n v="3342.8"/>
  </r>
  <r>
    <x v="1"/>
    <x v="2"/>
    <s v="Enterprise"/>
    <n v="16153.68"/>
    <n v="4798.1099999999997"/>
    <n v="147"/>
    <x v="1"/>
    <n v="25513.763152319752"/>
    <n v="4798.1099999999997"/>
  </r>
  <r>
    <x v="1"/>
    <x v="2"/>
    <s v="SMB"/>
    <n v="9025.5300000000007"/>
    <n v="3015.65"/>
    <n v="78"/>
    <x v="1"/>
    <n v="13768.17315161359"/>
    <n v="3015.65"/>
  </r>
  <r>
    <x v="1"/>
    <x v="3"/>
    <s v="Enterprise"/>
    <n v="14159.81"/>
    <n v="3051.59"/>
    <n v="129"/>
    <x v="1"/>
    <n v="16686.371018995833"/>
    <n v="3051.59"/>
  </r>
  <r>
    <x v="1"/>
    <x v="3"/>
    <s v="SMB"/>
    <n v="8955.85"/>
    <n v="1757.97"/>
    <n v="68"/>
    <x v="1"/>
    <n v="10932.589506390792"/>
    <n v="1757.97"/>
  </r>
  <r>
    <x v="1"/>
    <x v="4"/>
    <s v="Enterprise"/>
    <n v="8770.83"/>
    <n v="4159.5200000000004"/>
    <n v="226"/>
    <x v="1"/>
    <n v="20199.52686957136"/>
    <n v="4159.5200000000004"/>
  </r>
  <r>
    <x v="1"/>
    <x v="4"/>
    <s v="SMB"/>
    <n v="4940"/>
    <n v="1909.51"/>
    <n v="107"/>
    <x v="1"/>
    <n v="11824.892309865123"/>
    <n v="1909.51"/>
  </r>
  <r>
    <x v="2"/>
    <x v="0"/>
    <s v="Enterprise"/>
    <n v="15213.05"/>
    <n v="3366.14"/>
    <n v="126"/>
    <x v="1"/>
    <n v="27045.88"/>
    <n v="3366.14"/>
  </r>
  <r>
    <x v="2"/>
    <x v="0"/>
    <s v="SMB"/>
    <n v="9244.4599999999991"/>
    <n v="1868.2"/>
    <n v="72"/>
    <x v="1"/>
    <n v="15383.15"/>
    <n v="1868.2"/>
  </r>
  <r>
    <x v="2"/>
    <x v="1"/>
    <s v="Enterprise"/>
    <n v="12766.62"/>
    <n v="2808.91"/>
    <n v="188"/>
    <x v="1"/>
    <n v="20950.240000000002"/>
    <n v="2808.91"/>
  </r>
  <r>
    <x v="2"/>
    <x v="1"/>
    <s v="SMB"/>
    <n v="6892.06"/>
    <n v="1463.51"/>
    <n v="80"/>
    <x v="1"/>
    <n v="11334.74"/>
    <n v="1463.51"/>
  </r>
  <r>
    <x v="2"/>
    <x v="2"/>
    <s v="Enterprise"/>
    <n v="9554.0400000000009"/>
    <n v="2591.6999999999998"/>
    <n v="109"/>
    <x v="1"/>
    <n v="17270.22"/>
    <n v="2591.6999999999998"/>
  </r>
  <r>
    <x v="2"/>
    <x v="2"/>
    <s v="SMB"/>
    <n v="5535.09"/>
    <n v="1700.48"/>
    <n v="117"/>
    <x v="1"/>
    <n v="10464.92"/>
    <n v="1700.48"/>
  </r>
  <r>
    <x v="2"/>
    <x v="3"/>
    <s v="Enterprise"/>
    <n v="8130.08"/>
    <n v="1899.57"/>
    <n v="98"/>
    <x v="1"/>
    <n v="11193.2"/>
    <n v="1899.57"/>
  </r>
  <r>
    <x v="2"/>
    <x v="3"/>
    <s v="SMB"/>
    <n v="4923.0600000000004"/>
    <n v="866.52"/>
    <n v="51"/>
    <x v="1"/>
    <n v="6865.62"/>
    <n v="866.52"/>
  </r>
  <r>
    <x v="2"/>
    <x v="4"/>
    <s v="Enterprise"/>
    <n v="5469.38"/>
    <n v="2738.07"/>
    <n v="100"/>
    <x v="1"/>
    <n v="15180.47"/>
    <n v="2738.07"/>
  </r>
  <r>
    <x v="2"/>
    <x v="4"/>
    <s v="SMB"/>
    <n v="3777.62"/>
    <n v="2012.42"/>
    <n v="76"/>
    <x v="1"/>
    <n v="10411.379999999999"/>
    <n v="2012.42"/>
  </r>
  <r>
    <x v="3"/>
    <x v="0"/>
    <s v="Enterprise"/>
    <n v="21109.11"/>
    <n v="6201"/>
    <n v="208"/>
    <x v="1"/>
    <n v="36992.49"/>
    <n v="6201"/>
  </r>
  <r>
    <x v="3"/>
    <x v="0"/>
    <s v="SMB"/>
    <n v="11735.29"/>
    <m/>
    <n v="118"/>
    <x v="1"/>
    <n v="20416.98"/>
    <m/>
  </r>
  <r>
    <x v="3"/>
    <x v="1"/>
    <s v="SMB"/>
    <n v="11088.17"/>
    <n v="3310.95"/>
    <n v="90"/>
    <x v="1"/>
    <n v="17702.55"/>
    <n v="3310.95"/>
  </r>
  <r>
    <x v="3"/>
    <x v="2"/>
    <s v="Enterprise"/>
    <n v="12029.58"/>
    <n v="3005.04"/>
    <n v="160"/>
    <x v="1"/>
    <n v="22296.12"/>
    <n v="3005.04"/>
  </r>
  <r>
    <x v="3"/>
    <x v="2"/>
    <s v="SMB"/>
    <n v="8329.1200000000008"/>
    <n v="2902.6"/>
    <n v="84"/>
    <x v="1"/>
    <n v="15446.78"/>
    <n v="2902.6"/>
  </r>
  <r>
    <x v="3"/>
    <x v="3"/>
    <s v="Enterprise"/>
    <n v="12112.52"/>
    <n v="2346.5700000000002"/>
    <n v="124"/>
    <x v="1"/>
    <n v="16753.41"/>
    <n v="2346.5700000000002"/>
  </r>
  <r>
    <x v="3"/>
    <x v="3"/>
    <s v="SMB"/>
    <n v="6915.3"/>
    <n v="1708.83"/>
    <n v="76"/>
    <x v="1"/>
    <n v="9411.42"/>
    <n v="1708.83"/>
  </r>
  <r>
    <x v="3"/>
    <x v="4"/>
    <s v="Enterprise"/>
    <n v="6467.28"/>
    <n v="2554.06"/>
    <n v="124"/>
    <x v="1"/>
    <n v="18887.37"/>
    <n v="2554.06"/>
  </r>
  <r>
    <x v="3"/>
    <x v="4"/>
    <s v="SMB"/>
    <n v="4289.04"/>
    <m/>
    <n v="86"/>
    <x v="1"/>
    <n v="12234.75"/>
    <m/>
  </r>
  <r>
    <x v="0"/>
    <x v="0"/>
    <s v="Enterprise"/>
    <n v="22605.360000000001"/>
    <n v="4575.58"/>
    <n v="409"/>
    <x v="2"/>
    <n v="37863.72"/>
    <n v="4575.58"/>
  </r>
  <r>
    <x v="0"/>
    <x v="0"/>
    <s v="SMB"/>
    <n v="13722.67"/>
    <n v="4130.33"/>
    <n v="186"/>
    <x v="2"/>
    <n v="22677.35"/>
    <n v="4130.33"/>
  </r>
  <r>
    <x v="0"/>
    <x v="1"/>
    <s v="Enterprise"/>
    <n v="18133.900000000001"/>
    <n v="4777.9399999999996"/>
    <n v="257"/>
    <x v="2"/>
    <n v="27439.13"/>
    <n v="4777.9399999999996"/>
  </r>
  <r>
    <x v="0"/>
    <x v="1"/>
    <s v="SMB"/>
    <n v="12118.92"/>
    <n v="2968.8"/>
    <n v="129"/>
    <x v="2"/>
    <n v="19485.259999999998"/>
    <n v="2968.8"/>
  </r>
  <r>
    <x v="0"/>
    <x v="2"/>
    <s v="Enterprise"/>
    <n v="13570.05"/>
    <n v="3703.6"/>
    <n v="291"/>
    <x v="2"/>
    <n v="25049.95"/>
    <n v="3703.6"/>
  </r>
  <r>
    <x v="0"/>
    <x v="2"/>
    <s v="SMB"/>
    <n v="9680.44"/>
    <n v="3178.54"/>
    <n v="87"/>
    <x v="2"/>
    <n v="16901.21"/>
    <n v="3178.54"/>
  </r>
  <r>
    <x v="0"/>
    <x v="3"/>
    <s v="Enterprise"/>
    <n v="11768.1"/>
    <n v="2571.3200000000002"/>
    <n v="166"/>
    <x v="2"/>
    <n v="17396.810000000001"/>
    <n v="2571.3200000000002"/>
  </r>
  <r>
    <x v="0"/>
    <x v="3"/>
    <s v="SMB"/>
    <n v="6996.41"/>
    <n v="1759"/>
    <n v="103"/>
    <x v="2"/>
    <n v="10502.78"/>
    <n v="1759"/>
  </r>
  <r>
    <x v="0"/>
    <x v="4"/>
    <s v="Enterprise"/>
    <n v="8480.26"/>
    <n v="4497.99"/>
    <n v="231"/>
    <x v="2"/>
    <n v="24089.439999999999"/>
    <n v="4497.99"/>
  </r>
  <r>
    <x v="0"/>
    <x v="4"/>
    <s v="SMB"/>
    <n v="5125.95"/>
    <n v="2057.15"/>
    <n v="82"/>
    <x v="2"/>
    <n v="14320.91"/>
    <n v="2057.15"/>
  </r>
  <r>
    <x v="1"/>
    <x v="0"/>
    <s v="Enterprise"/>
    <n v="22724.94"/>
    <n v="6179.13"/>
    <n v="202"/>
    <x v="2"/>
    <n v="34323.946049007842"/>
    <n v="6179.13"/>
  </r>
  <r>
    <x v="1"/>
    <x v="0"/>
    <s v="SMB"/>
    <n v="16969.650000000001"/>
    <n v="3950.32"/>
    <n v="134"/>
    <x v="2"/>
    <n v="23590.544453075348"/>
    <n v="3950.32"/>
  </r>
  <r>
    <x v="1"/>
    <x v="1"/>
    <s v="Enterprise"/>
    <n v="18861.580000000002"/>
    <n v="3695.46"/>
    <n v="228"/>
    <x v="2"/>
    <n v="25801.391144693171"/>
    <n v="3695.46"/>
  </r>
  <r>
    <x v="1"/>
    <x v="1"/>
    <s v="SMB"/>
    <n v="13792.88"/>
    <n v="4104.24"/>
    <n v="173"/>
    <x v="2"/>
    <n v="17286.385142292213"/>
    <n v="4104.24"/>
  </r>
  <r>
    <x v="1"/>
    <x v="2"/>
    <s v="Enterprise"/>
    <n v="15084.56"/>
    <n v="4910.8"/>
    <n v="134"/>
    <x v="2"/>
    <n v="22592.154508862372"/>
    <n v="4910.8"/>
  </r>
  <r>
    <x v="1"/>
    <x v="2"/>
    <s v="SMB"/>
    <n v="8960.89"/>
    <n v="2706.08"/>
    <n v="170"/>
    <x v="2"/>
    <n v="14046.663371230847"/>
    <n v="2706.08"/>
  </r>
  <r>
    <x v="1"/>
    <x v="3"/>
    <s v="Enterprise"/>
    <n v="14538.07"/>
    <n v="4043.77"/>
    <n v="188"/>
    <x v="2"/>
    <n v="17726.318762799237"/>
    <n v="4043.77"/>
  </r>
  <r>
    <x v="1"/>
    <x v="3"/>
    <s v="SMB"/>
    <n v="8533.86"/>
    <n v="2361.35"/>
    <n v="121"/>
    <x v="2"/>
    <n v="9966.1817668243784"/>
    <n v="2361.35"/>
  </r>
  <r>
    <x v="1"/>
    <x v="4"/>
    <s v="Enterprise"/>
    <n v="8515.36"/>
    <n v="4331.74"/>
    <n v="115"/>
    <x v="2"/>
    <n v="21232.871972318342"/>
    <n v="4331.74"/>
  </r>
  <r>
    <x v="2"/>
    <x v="0"/>
    <s v="Enterprise"/>
    <n v="15919.85"/>
    <n v="3688.93"/>
    <n v="311"/>
    <x v="2"/>
    <n v="26861.81"/>
    <n v="3688.93"/>
  </r>
  <r>
    <x v="2"/>
    <x v="0"/>
    <s v="SMB"/>
    <n v="9983.3799999999992"/>
    <n v="3274.56"/>
    <n v="79"/>
    <x v="2"/>
    <n v="16569.57"/>
    <n v="3274.56"/>
  </r>
  <r>
    <x v="2"/>
    <x v="1"/>
    <s v="Enterprise"/>
    <n v="11861.82"/>
    <n v="3323.84"/>
    <n v="146"/>
    <x v="2"/>
    <n v="17938.689999999999"/>
    <n v="3323.84"/>
  </r>
  <r>
    <x v="2"/>
    <x v="1"/>
    <s v="SMB"/>
    <n v="8326.82"/>
    <n v="2452.37"/>
    <n v="83"/>
    <x v="2"/>
    <n v="12572.55"/>
    <n v="2452.37"/>
  </r>
  <r>
    <x v="2"/>
    <x v="2"/>
    <s v="Enterprise"/>
    <n v="10443.14"/>
    <n v="2283.27"/>
    <n v="147"/>
    <x v="2"/>
    <n v="18630.96"/>
    <n v="2283.27"/>
  </r>
  <r>
    <x v="2"/>
    <x v="2"/>
    <s v="SMB"/>
    <n v="5537.14"/>
    <n v="1768.13"/>
    <n v="96"/>
    <x v="2"/>
    <n v="10153.93"/>
    <n v="1768.13"/>
  </r>
  <r>
    <x v="2"/>
    <x v="3"/>
    <s v="Enterprise"/>
    <n v="9059.89"/>
    <n v="1783.3"/>
    <n v="76"/>
    <x v="2"/>
    <n v="12663.64"/>
    <n v="1783.3"/>
  </r>
  <r>
    <x v="2"/>
    <x v="3"/>
    <s v="SMB"/>
    <n v="5344.27"/>
    <n v="1121.5999999999999"/>
    <n v="76"/>
    <x v="2"/>
    <n v="8010.92"/>
    <n v="1121.5999999999999"/>
  </r>
  <r>
    <x v="2"/>
    <x v="4"/>
    <s v="Enterprise"/>
    <n v="5190.96"/>
    <n v="2060.9"/>
    <n v="114"/>
    <x v="2"/>
    <n v="14313.74"/>
    <n v="2060.9"/>
  </r>
  <r>
    <x v="2"/>
    <x v="4"/>
    <s v="SMB"/>
    <n v="3292.67"/>
    <n v="1102.31"/>
    <n v="58"/>
    <x v="2"/>
    <n v="9149.07"/>
    <n v="1102.31"/>
  </r>
  <r>
    <x v="3"/>
    <x v="0"/>
    <s v="Enterprise"/>
    <n v="19979.22"/>
    <n v="4971.3599999999997"/>
    <n v="340"/>
    <x v="2"/>
    <n v="33999.449999999997"/>
    <n v="4971.3599999999997"/>
  </r>
  <r>
    <x v="3"/>
    <x v="0"/>
    <s v="SMB"/>
    <n v="13042.1"/>
    <n v="4093.71"/>
    <n v="153"/>
    <x v="2"/>
    <n v="22291.41"/>
    <n v="4093.71"/>
  </r>
  <r>
    <x v="3"/>
    <x v="1"/>
    <s v="Enterprise"/>
    <n v="18782.830000000002"/>
    <n v="4643.92"/>
    <n v="226"/>
    <x v="2"/>
    <n v="28567.84"/>
    <n v="4643.92"/>
  </r>
  <r>
    <x v="3"/>
    <x v="1"/>
    <s v="SMB"/>
    <n v="9967.34"/>
    <n v="2149.42"/>
    <n v="70"/>
    <x v="2"/>
    <n v="15376.1"/>
    <n v="2149.42"/>
  </r>
  <r>
    <x v="3"/>
    <x v="2"/>
    <s v="Enterprise"/>
    <n v="13252.3"/>
    <n v="3131.53"/>
    <n v="280"/>
    <x v="2"/>
    <n v="24763.5"/>
    <n v="3131.53"/>
  </r>
  <r>
    <x v="3"/>
    <x v="3"/>
    <s v="Enterprise"/>
    <n v="12184.87"/>
    <n v="3327.17"/>
    <n v="124"/>
    <x v="2"/>
    <n v="17532.04"/>
    <n v="3327.17"/>
  </r>
  <r>
    <x v="3"/>
    <x v="3"/>
    <s v="SMB"/>
    <n v="6899.1"/>
    <n v="1691.43"/>
    <n v="57"/>
    <x v="2"/>
    <n v="10220.34"/>
    <n v="1691.43"/>
  </r>
  <r>
    <x v="3"/>
    <x v="4"/>
    <s v="Enterprise"/>
    <n v="6973.53"/>
    <n v="3232.34"/>
    <n v="122"/>
    <x v="2"/>
    <n v="20015.18"/>
    <n v="3232.34"/>
  </r>
  <r>
    <x v="3"/>
    <x v="4"/>
    <s v="SMB"/>
    <n v="4202.29"/>
    <n v="1534.6"/>
    <n v="59"/>
    <x v="2"/>
    <n v="12509.25"/>
    <n v="1534.6"/>
  </r>
  <r>
    <x v="0"/>
    <x v="0"/>
    <s v="Enterprise"/>
    <n v="20092.59"/>
    <m/>
    <n v="177"/>
    <x v="3"/>
    <n v="34865.629999999997"/>
    <n v="6824.15"/>
  </r>
  <r>
    <x v="0"/>
    <x v="0"/>
    <s v="SMB"/>
    <n v="15441.63"/>
    <m/>
    <n v="119"/>
    <x v="3"/>
    <n v="25518.799999999999"/>
    <n v="4180.59"/>
  </r>
  <r>
    <x v="0"/>
    <x v="1"/>
    <s v="Enterprise"/>
    <n v="16989.400000000001"/>
    <m/>
    <n v="123"/>
    <x v="3"/>
    <n v="26312.44"/>
    <n v="3554.93"/>
  </r>
  <r>
    <x v="0"/>
    <x v="1"/>
    <s v="SMB"/>
    <n v="11582.57"/>
    <m/>
    <n v="92"/>
    <x v="3"/>
    <n v="17275.71"/>
    <n v="3397.34"/>
  </r>
  <r>
    <x v="0"/>
    <x v="2"/>
    <s v="Enterprise"/>
    <n v="14582.06"/>
    <m/>
    <n v="258"/>
    <x v="3"/>
    <n v="27295.22"/>
    <n v="4920.46"/>
  </r>
  <r>
    <x v="0"/>
    <x v="2"/>
    <s v="SMB"/>
    <n v="8655.65"/>
    <m/>
    <n v="124"/>
    <x v="3"/>
    <n v="15111.26"/>
    <n v="2221.54"/>
  </r>
  <r>
    <x v="0"/>
    <x v="3"/>
    <s v="Enterprise"/>
    <n v="13779.5"/>
    <m/>
    <n v="173"/>
    <x v="3"/>
    <n v="19070.87"/>
    <n v="3716.52"/>
  </r>
  <r>
    <x v="0"/>
    <x v="3"/>
    <s v="SMB"/>
    <n v="7545"/>
    <m/>
    <n v="98"/>
    <x v="3"/>
    <n v="10449.459999999999"/>
    <n v="1562.23"/>
  </r>
  <r>
    <x v="0"/>
    <x v="4"/>
    <s v="Enterprise"/>
    <n v="8155.68"/>
    <m/>
    <n v="160"/>
    <x v="3"/>
    <n v="23348.41"/>
    <n v="3725.05"/>
  </r>
  <r>
    <x v="0"/>
    <x v="4"/>
    <s v="SMB"/>
    <n v="4892.17"/>
    <m/>
    <n v="95"/>
    <x v="3"/>
    <n v="13336.24"/>
    <n v="1630.48"/>
  </r>
  <r>
    <x v="1"/>
    <x v="0"/>
    <s v="Enterprise"/>
    <n v="23353.1"/>
    <m/>
    <n v="234"/>
    <x v="3"/>
    <n v="40840.050000000003"/>
    <n v="6827.1"/>
  </r>
  <r>
    <x v="1"/>
    <x v="0"/>
    <s v="SMB"/>
    <n v="17824.93"/>
    <m/>
    <n v="284"/>
    <x v="3"/>
    <n v="29451.22"/>
    <n v="4159.2299999999996"/>
  </r>
  <r>
    <x v="1"/>
    <x v="1"/>
    <s v="Enterprise"/>
    <n v="19213.22"/>
    <m/>
    <n v="322"/>
    <x v="3"/>
    <n v="29523.91"/>
    <n v="3713.07"/>
  </r>
  <r>
    <x v="1"/>
    <x v="1"/>
    <s v="SMB"/>
    <n v="14489.42"/>
    <m/>
    <n v="246"/>
    <x v="3"/>
    <n v="21609.119999999999"/>
    <n v="4076.71"/>
  </r>
  <r>
    <x v="1"/>
    <x v="2"/>
    <s v="Enterprise"/>
    <n v="15641.98"/>
    <m/>
    <n v="215"/>
    <x v="3"/>
    <n v="27499.33"/>
    <n v="3315.84"/>
  </r>
  <r>
    <x v="1"/>
    <x v="2"/>
    <s v="SMB"/>
    <n v="9781.8700000000008"/>
    <m/>
    <n v="114"/>
    <x v="3"/>
    <n v="18375.46"/>
    <m/>
  </r>
  <r>
    <x v="1"/>
    <x v="3"/>
    <s v="Enterprise"/>
    <n v="12627.4"/>
    <m/>
    <n v="183"/>
    <x v="3"/>
    <n v="18397.52"/>
    <n v="2728.04"/>
  </r>
  <r>
    <x v="1"/>
    <x v="3"/>
    <s v="SMB"/>
    <n v="8558.4699999999993"/>
    <m/>
    <n v="141"/>
    <x v="3"/>
    <n v="12543.43"/>
    <n v="2434.21"/>
  </r>
  <r>
    <x v="1"/>
    <x v="4"/>
    <s v="Enterprise"/>
    <n v="8056.93"/>
    <m/>
    <n v="140"/>
    <x v="3"/>
    <n v="22882.91"/>
    <n v="2747.79"/>
  </r>
  <r>
    <x v="1"/>
    <x v="4"/>
    <s v="SMB"/>
    <n v="5570.37"/>
    <m/>
    <n v="74"/>
    <x v="3"/>
    <n v="15162.69"/>
    <n v="2836.19"/>
  </r>
  <r>
    <x v="2"/>
    <x v="0"/>
    <s v="Enterprise"/>
    <n v="15597.43"/>
    <m/>
    <n v="180"/>
    <x v="3"/>
    <n v="25701.52"/>
    <n v="4889.75"/>
  </r>
  <r>
    <x v="2"/>
    <x v="0"/>
    <s v="SMB"/>
    <n v="9990.3700000000008"/>
    <m/>
    <n v="78"/>
    <x v="3"/>
    <n v="16862.43"/>
    <n v="3203.34"/>
  </r>
  <r>
    <x v="2"/>
    <x v="1"/>
    <s v="Enterprise"/>
    <n v="12603.92"/>
    <m/>
    <n v="191"/>
    <x v="3"/>
    <n v="20647.330000000002"/>
    <n v="2529.4"/>
  </r>
  <r>
    <x v="2"/>
    <x v="1"/>
    <s v="SMB"/>
    <n v="7015.12"/>
    <m/>
    <n v="116"/>
    <x v="3"/>
    <n v="11335.29"/>
    <m/>
  </r>
  <r>
    <x v="2"/>
    <x v="2"/>
    <s v="Enterprise"/>
    <n v="10389.379999999999"/>
    <m/>
    <n v="175"/>
    <x v="3"/>
    <n v="18307.09"/>
    <n v="3338.11"/>
  </r>
  <r>
    <x v="2"/>
    <x v="2"/>
    <s v="SMB"/>
    <n v="5390.44"/>
    <m/>
    <n v="48"/>
    <x v="3"/>
    <n v="10108.15"/>
    <n v="1587.48"/>
  </r>
  <r>
    <x v="2"/>
    <x v="3"/>
    <s v="Enterprise"/>
    <n v="9147.3799999999992"/>
    <m/>
    <n v="74"/>
    <x v="3"/>
    <n v="12939.89"/>
    <n v="2213.02"/>
  </r>
  <r>
    <x v="2"/>
    <x v="3"/>
    <s v="SMB"/>
    <n v="5436.96"/>
    <m/>
    <n v="67"/>
    <x v="3"/>
    <n v="7978.19"/>
    <n v="1255.56"/>
  </r>
  <r>
    <x v="2"/>
    <x v="4"/>
    <s v="Enterprise"/>
    <n v="4865.1099999999997"/>
    <m/>
    <n v="75"/>
    <x v="3"/>
    <n v="13927.52"/>
    <n v="1804.1"/>
  </r>
  <r>
    <x v="2"/>
    <x v="4"/>
    <s v="SMB"/>
    <n v="3170.47"/>
    <m/>
    <n v="47"/>
    <x v="3"/>
    <n v="9458.16"/>
    <n v="1823.38"/>
  </r>
  <r>
    <x v="3"/>
    <x v="0"/>
    <s v="Enterprise"/>
    <n v="18706.41"/>
    <m/>
    <n v="222"/>
    <x v="3"/>
    <n v="31879.34"/>
    <n v="5555.51"/>
  </r>
  <r>
    <x v="3"/>
    <x v="0"/>
    <s v="SMB"/>
    <n v="12087.91"/>
    <m/>
    <n v="113"/>
    <x v="3"/>
    <n v="20964.3"/>
    <n v="3454.29"/>
  </r>
  <r>
    <x v="3"/>
    <x v="1"/>
    <s v="Enterprise"/>
    <n v="18013.830000000002"/>
    <m/>
    <n v="287"/>
    <x v="3"/>
    <n v="27345.64"/>
    <n v="4611.33"/>
  </r>
  <r>
    <x v="3"/>
    <x v="1"/>
    <s v="SMB"/>
    <n v="10360.64"/>
    <m/>
    <n v="82"/>
    <x v="3"/>
    <n v="16738.560000000001"/>
    <n v="2323.9899999999998"/>
  </r>
  <r>
    <x v="3"/>
    <x v="2"/>
    <s v="Enterprise"/>
    <n v="11374.77"/>
    <m/>
    <n v="124"/>
    <x v="3"/>
    <n v="21732.37"/>
    <n v="3277.51"/>
  </r>
  <r>
    <x v="3"/>
    <x v="2"/>
    <s v="SMB"/>
    <n v="6913.66"/>
    <m/>
    <n v="112"/>
    <x v="3"/>
    <n v="12962.03"/>
    <n v="2083.38"/>
  </r>
  <r>
    <x v="3"/>
    <x v="3"/>
    <s v="Enterprise"/>
    <n v="11215.64"/>
    <m/>
    <n v="120"/>
    <x v="3"/>
    <n v="15478"/>
    <n v="3041.98"/>
  </r>
  <r>
    <x v="3"/>
    <x v="3"/>
    <s v="SMB"/>
    <n v="6487.26"/>
    <m/>
    <n v="101"/>
    <x v="3"/>
    <n v="9532.5"/>
    <n v="1530.64"/>
  </r>
  <r>
    <x v="3"/>
    <x v="4"/>
    <s v="Enterprise"/>
    <n v="7125.76"/>
    <m/>
    <n v="99"/>
    <x v="3"/>
    <n v="20062.349999999999"/>
    <n v="3144.74"/>
  </r>
  <r>
    <x v="3"/>
    <x v="4"/>
    <s v="SMB"/>
    <n v="4037.84"/>
    <m/>
    <n v="146"/>
    <x v="3"/>
    <n v="12106.62"/>
    <n v="1897.62"/>
  </r>
  <r>
    <x v="0"/>
    <x v="0"/>
    <s v="Enterprise"/>
    <n v="22434.19"/>
    <m/>
    <n v="294"/>
    <x v="4"/>
    <n v="39581.43"/>
    <n v="5035.18"/>
  </r>
  <r>
    <x v="0"/>
    <x v="0"/>
    <s v="SMB"/>
    <n v="12947.43"/>
    <m/>
    <n v="271"/>
    <x v="4"/>
    <n v="22612.55"/>
    <n v="2995.85"/>
  </r>
  <r>
    <x v="0"/>
    <x v="1"/>
    <s v="Enterprise"/>
    <n v="19256.13"/>
    <m/>
    <n v="147"/>
    <x v="4"/>
    <n v="30686.09"/>
    <n v="4923.71"/>
  </r>
  <r>
    <x v="0"/>
    <x v="1"/>
    <s v="SMB"/>
    <n v="12551.46"/>
    <m/>
    <n v="130"/>
    <x v="4"/>
    <n v="18687.490000000002"/>
    <n v="3158.01"/>
  </r>
  <r>
    <x v="0"/>
    <x v="2"/>
    <s v="Enterprise"/>
    <n v="12712"/>
    <m/>
    <n v="141"/>
    <x v="4"/>
    <n v="24068.73"/>
    <n v="4192.63"/>
  </r>
  <r>
    <x v="0"/>
    <x v="2"/>
    <s v="SMB"/>
    <n v="7926.98"/>
    <m/>
    <n v="76"/>
    <x v="4"/>
    <n v="14730.21"/>
    <n v="2430.8000000000002"/>
  </r>
  <r>
    <x v="0"/>
    <x v="3"/>
    <s v="Enterprise"/>
    <n v="11915.22"/>
    <m/>
    <n v="142"/>
    <x v="4"/>
    <n v="16495.66"/>
    <n v="2589.4899999999998"/>
  </r>
  <r>
    <x v="0"/>
    <x v="3"/>
    <s v="SMB"/>
    <n v="6900.88"/>
    <m/>
    <n v="66"/>
    <x v="4"/>
    <n v="10283.42"/>
    <n v="1547.9"/>
  </r>
  <r>
    <x v="0"/>
    <x v="4"/>
    <s v="Enterprise"/>
    <n v="7462.24"/>
    <m/>
    <n v="106"/>
    <x v="4"/>
    <n v="21759.66"/>
    <n v="2796.27"/>
  </r>
  <r>
    <x v="0"/>
    <x v="4"/>
    <s v="SMB"/>
    <n v="4633.1499999999996"/>
    <m/>
    <n v="142"/>
    <x v="4"/>
    <n v="12818.11"/>
    <n v="2490.44"/>
  </r>
  <r>
    <x v="1"/>
    <x v="0"/>
    <s v="Enterprise"/>
    <n v="26366.5"/>
    <m/>
    <n v="284"/>
    <x v="4"/>
    <n v="46244.59"/>
    <n v="7146.61"/>
  </r>
  <r>
    <x v="1"/>
    <x v="0"/>
    <s v="SMB"/>
    <n v="14285.36"/>
    <m/>
    <n v="171"/>
    <x v="4"/>
    <n v="25311.63"/>
    <n v="3863.66"/>
  </r>
  <r>
    <x v="1"/>
    <x v="1"/>
    <s v="Enterprise"/>
    <n v="18909.419999999998"/>
    <m/>
    <n v="193"/>
    <x v="4"/>
    <n v="29502.2"/>
    <n v="4044.86"/>
  </r>
  <r>
    <x v="1"/>
    <x v="1"/>
    <s v="SMB"/>
    <n v="13911.98"/>
    <m/>
    <n v="102"/>
    <x v="4"/>
    <n v="21669.27"/>
    <n v="3769.56"/>
  </r>
  <r>
    <x v="1"/>
    <x v="2"/>
    <s v="Enterprise"/>
    <n v="14901.24"/>
    <m/>
    <n v="180"/>
    <x v="4"/>
    <n v="27967"/>
    <n v="3525.36"/>
  </r>
  <r>
    <x v="1"/>
    <x v="2"/>
    <s v="SMB"/>
    <n v="9013.58"/>
    <m/>
    <n v="89"/>
    <x v="4"/>
    <n v="16582.47"/>
    <n v="3103.25"/>
  </r>
  <r>
    <x v="1"/>
    <x v="3"/>
    <s v="Enterprise"/>
    <n v="13535.69"/>
    <m/>
    <n v="128"/>
    <x v="4"/>
    <n v="20286.259999999998"/>
    <n v="2755.56"/>
  </r>
  <r>
    <x v="1"/>
    <x v="3"/>
    <s v="SMB"/>
    <n v="8329.7000000000007"/>
    <m/>
    <n v="106"/>
    <x v="4"/>
    <n v="11446.36"/>
    <n v="1865.02"/>
  </r>
  <r>
    <x v="1"/>
    <x v="4"/>
    <s v="Enterprise"/>
    <n v="8773.49"/>
    <m/>
    <n v="130"/>
    <x v="4"/>
    <n v="24759.49"/>
    <n v="3745.1"/>
  </r>
  <r>
    <x v="1"/>
    <x v="4"/>
    <s v="SMB"/>
    <n v="5104.57"/>
    <m/>
    <n v="93"/>
    <x v="4"/>
    <n v="14127.09"/>
    <n v="2789.03"/>
  </r>
  <r>
    <x v="2"/>
    <x v="0"/>
    <s v="Enterprise"/>
    <n v="16527.740000000002"/>
    <m/>
    <n v="155"/>
    <x v="4"/>
    <n v="28601.42"/>
    <n v="5383.66"/>
  </r>
  <r>
    <x v="2"/>
    <x v="0"/>
    <s v="SMB"/>
    <n v="9455.39"/>
    <m/>
    <n v="150"/>
    <x v="4"/>
    <n v="16087.21"/>
    <n v="2353.3000000000002"/>
  </r>
  <r>
    <x v="2"/>
    <x v="1"/>
    <s v="Enterprise"/>
    <n v="12793.16"/>
    <m/>
    <n v="100"/>
    <x v="4"/>
    <n v="20198.61"/>
    <n v="2749.76"/>
  </r>
  <r>
    <x v="2"/>
    <x v="1"/>
    <s v="SMB"/>
    <n v="7609.03"/>
    <m/>
    <n v="79"/>
    <x v="4"/>
    <n v="11565.71"/>
    <n v="1693.43"/>
  </r>
  <r>
    <x v="2"/>
    <x v="2"/>
    <s v="Enterprise"/>
    <n v="10775.3"/>
    <m/>
    <n v="211"/>
    <x v="4"/>
    <n v="18660.62"/>
    <n v="3686.94"/>
  </r>
  <r>
    <x v="2"/>
    <x v="2"/>
    <s v="SMB"/>
    <n v="6158.71"/>
    <m/>
    <n v="115"/>
    <x v="4"/>
    <n v="11480.04"/>
    <n v="2219.89"/>
  </r>
  <r>
    <x v="2"/>
    <x v="3"/>
    <s v="Enterprise"/>
    <n v="8204.66"/>
    <m/>
    <n v="60"/>
    <x v="4"/>
    <n v="12085.06"/>
    <n v="1878.12"/>
  </r>
  <r>
    <x v="2"/>
    <x v="3"/>
    <s v="SMB"/>
    <n v="5995.44"/>
    <m/>
    <n v="47"/>
    <x v="4"/>
    <n v="8212.11"/>
    <n v="1517.8"/>
  </r>
  <r>
    <x v="2"/>
    <x v="4"/>
    <s v="Enterprise"/>
    <n v="4992.8900000000003"/>
    <m/>
    <n v="91"/>
    <x v="4"/>
    <n v="13857.82"/>
    <n v="1810.1"/>
  </r>
  <r>
    <x v="2"/>
    <x v="4"/>
    <s v="SMB"/>
    <n v="3692.29"/>
    <m/>
    <n v="51"/>
    <x v="4"/>
    <n v="10261.120000000001"/>
    <n v="1821.58"/>
  </r>
  <r>
    <x v="3"/>
    <x v="0"/>
    <s v="Enterprise"/>
    <n v="20082.48"/>
    <m/>
    <n v="191"/>
    <x v="4"/>
    <n v="35828.400000000001"/>
    <n v="6883.35"/>
  </r>
  <r>
    <x v="3"/>
    <x v="0"/>
    <s v="SMB"/>
    <n v="12318.76"/>
    <m/>
    <n v="105"/>
    <x v="4"/>
    <n v="21613.17"/>
    <n v="4213.4399999999996"/>
  </r>
  <r>
    <x v="3"/>
    <x v="1"/>
    <s v="Enterprise"/>
    <n v="14567.23"/>
    <m/>
    <n v="117"/>
    <x v="4"/>
    <n v="23716.78"/>
    <n v="3005.71"/>
  </r>
  <r>
    <x v="3"/>
    <x v="1"/>
    <s v="SMB"/>
    <n v="9936.51"/>
    <m/>
    <n v="81"/>
    <x v="4"/>
    <n v="14967.4"/>
    <n v="2062.9899999999998"/>
  </r>
  <r>
    <x v="3"/>
    <x v="2"/>
    <s v="Enterprise"/>
    <n v="12050.68"/>
    <m/>
    <n v="156"/>
    <x v="4"/>
    <n v="21889.86"/>
    <n v="4174.3999999999996"/>
  </r>
  <r>
    <x v="3"/>
    <x v="2"/>
    <s v="SMB"/>
    <n v="7927.82"/>
    <m/>
    <n v="84"/>
    <x v="4"/>
    <n v="14427.69"/>
    <n v="1947.13"/>
  </r>
  <r>
    <x v="3"/>
    <x v="3"/>
    <s v="Enterprise"/>
    <n v="11528.58"/>
    <m/>
    <n v="103"/>
    <x v="4"/>
    <n v="17117.97"/>
    <n v="2073.79"/>
  </r>
  <r>
    <x v="3"/>
    <x v="3"/>
    <s v="SMB"/>
    <n v="7016.45"/>
    <m/>
    <n v="59"/>
    <x v="4"/>
    <n v="9998.0300000000007"/>
    <n v="1910.27"/>
  </r>
  <r>
    <x v="3"/>
    <x v="4"/>
    <s v="Enterprise"/>
    <n v="6698.38"/>
    <m/>
    <n v="99"/>
    <x v="4"/>
    <n v="18941.09"/>
    <m/>
  </r>
  <r>
    <x v="3"/>
    <x v="4"/>
    <s v="SMB"/>
    <n v="4416.2700000000004"/>
    <m/>
    <n v="112"/>
    <x v="4"/>
    <n v="12824.03"/>
    <n v="1799.04"/>
  </r>
  <r>
    <x v="0"/>
    <x v="0"/>
    <s v="Enterprise"/>
    <n v="20047.63"/>
    <n v="6825.29"/>
    <n v="275"/>
    <x v="5"/>
    <n v="35174.69"/>
    <n v="6825.29"/>
  </r>
  <r>
    <x v="0"/>
    <x v="0"/>
    <s v="SMB"/>
    <n v="15264.99"/>
    <m/>
    <n v="155"/>
    <x v="5"/>
    <n v="25177.42"/>
    <m/>
  </r>
  <r>
    <x v="0"/>
    <x v="1"/>
    <s v="Enterprise"/>
    <n v="19812.560000000001"/>
    <n v="5502.52"/>
    <n v="290"/>
    <x v="5"/>
    <n v="31120.5"/>
    <n v="5502.52"/>
  </r>
  <r>
    <x v="0"/>
    <x v="1"/>
    <s v="SMB"/>
    <n v="12056.01"/>
    <n v="3585.3"/>
    <n v="165"/>
    <x v="5"/>
    <n v="18687.54"/>
    <n v="3585.3"/>
  </r>
  <r>
    <x v="0"/>
    <x v="2"/>
    <s v="Enterprise"/>
    <n v="11786.51"/>
    <n v="3773.29"/>
    <n v="135"/>
    <x v="5"/>
    <n v="22364.78"/>
    <n v="3773.29"/>
  </r>
  <r>
    <x v="0"/>
    <x v="2"/>
    <s v="SMB"/>
    <n v="8028.48"/>
    <n v="2869.67"/>
    <n v="74"/>
    <x v="5"/>
    <n v="14538.42"/>
    <n v="2869.67"/>
  </r>
  <r>
    <x v="0"/>
    <x v="3"/>
    <s v="Enterprise"/>
    <n v="13060.48"/>
    <n v="2645.26"/>
    <n v="173"/>
    <x v="5"/>
    <n v="18831.580000000002"/>
    <n v="2645.26"/>
  </r>
  <r>
    <x v="0"/>
    <x v="3"/>
    <s v="SMB"/>
    <n v="7995.8"/>
    <n v="2183.06"/>
    <n v="60"/>
    <x v="5"/>
    <n v="11598.13"/>
    <n v="2183.06"/>
  </r>
  <r>
    <x v="0"/>
    <x v="4"/>
    <s v="Enterprise"/>
    <n v="8075.86"/>
    <n v="3439.87"/>
    <n v="142"/>
    <x v="5"/>
    <n v="22956.400000000001"/>
    <n v="3439.87"/>
  </r>
  <r>
    <x v="0"/>
    <x v="4"/>
    <s v="SMB"/>
    <n v="4870.57"/>
    <n v="2305.17"/>
    <n v="116"/>
    <x v="5"/>
    <n v="14251.75"/>
    <n v="2305.17"/>
  </r>
  <r>
    <x v="1"/>
    <x v="0"/>
    <s v="Enterprise"/>
    <n v="22242.69"/>
    <n v="7889.7"/>
    <n v="230"/>
    <x v="5"/>
    <n v="40156.15"/>
    <n v="7889.7"/>
  </r>
  <r>
    <x v="1"/>
    <x v="0"/>
    <s v="SMB"/>
    <n v="16277.85"/>
    <n v="3910.92"/>
    <n v="311"/>
    <x v="5"/>
    <n v="29166.49"/>
    <n v="3910.92"/>
  </r>
  <r>
    <x v="1"/>
    <x v="1"/>
    <s v="Enterprise"/>
    <n v="18671.400000000001"/>
    <n v="4772.2299999999996"/>
    <n v="147"/>
    <x v="5"/>
    <n v="29192.560000000001"/>
    <n v="4772.2299999999996"/>
  </r>
  <r>
    <x v="1"/>
    <x v="1"/>
    <s v="SMB"/>
    <n v="12449.38"/>
    <n v="3249.96"/>
    <n v="170"/>
    <x v="5"/>
    <n v="19408.57"/>
    <n v="3249.96"/>
  </r>
  <r>
    <x v="1"/>
    <x v="2"/>
    <s v="Enterprise"/>
    <n v="15820.38"/>
    <n v="3876.86"/>
    <n v="287"/>
    <x v="5"/>
    <n v="29900.86"/>
    <n v="3876.86"/>
  </r>
  <r>
    <x v="1"/>
    <x v="2"/>
    <s v="SMB"/>
    <n v="9463.94"/>
    <n v="2974.99"/>
    <n v="90"/>
    <x v="5"/>
    <n v="18101.88"/>
    <n v="2974.99"/>
  </r>
  <r>
    <x v="1"/>
    <x v="3"/>
    <s v="Enterprise"/>
    <n v="12459.73"/>
    <n v="3320.61"/>
    <n v="85"/>
    <x v="5"/>
    <n v="18377.54"/>
    <n v="3320.61"/>
  </r>
  <r>
    <x v="1"/>
    <x v="3"/>
    <s v="SMB"/>
    <n v="7916.91"/>
    <n v="1926.6"/>
    <n v="82"/>
    <x v="5"/>
    <n v="11274.99"/>
    <n v="1926.6"/>
  </r>
  <r>
    <x v="1"/>
    <x v="4"/>
    <s v="Enterprise"/>
    <n v="8330.93"/>
    <n v="4594.9399999999996"/>
    <n v="261"/>
    <x v="5"/>
    <n v="24082.47"/>
    <n v="4594.9399999999996"/>
  </r>
  <r>
    <x v="1"/>
    <x v="4"/>
    <s v="SMB"/>
    <n v="5587.37"/>
    <n v="2628.86"/>
    <n v="168"/>
    <x v="5"/>
    <n v="15965.31"/>
    <n v="2628.86"/>
  </r>
  <r>
    <x v="2"/>
    <x v="0"/>
    <s v="Enterprise"/>
    <n v="14964.98"/>
    <n v="4129.92"/>
    <n v="195"/>
    <x v="5"/>
    <n v="26064.53"/>
    <n v="4129.92"/>
  </r>
  <r>
    <x v="2"/>
    <x v="0"/>
    <s v="SMB"/>
    <n v="10192.92"/>
    <n v="2877.3"/>
    <n v="187"/>
    <x v="5"/>
    <n v="18139.509999999998"/>
    <n v="2877.3"/>
  </r>
  <r>
    <x v="2"/>
    <x v="1"/>
    <s v="Enterprise"/>
    <n v="13209.28"/>
    <n v="2645.84"/>
    <n v="96"/>
    <x v="5"/>
    <n v="19812.61"/>
    <n v="2645.84"/>
  </r>
  <r>
    <x v="2"/>
    <x v="2"/>
    <s v="Enterprise"/>
    <n v="9839.36"/>
    <n v="2287.34"/>
    <n v="104"/>
    <x v="5"/>
    <n v="17611.189999999999"/>
    <n v="2287.34"/>
  </r>
  <r>
    <x v="2"/>
    <x v="3"/>
    <s v="Enterprise"/>
    <n v="7491.81"/>
    <n v="1680.38"/>
    <n v="124"/>
    <x v="5"/>
    <n v="11062.28"/>
    <n v="1680.38"/>
  </r>
  <r>
    <x v="2"/>
    <x v="3"/>
    <s v="SMB"/>
    <n v="5559.03"/>
    <n v="1405.22"/>
    <n v="38"/>
    <x v="5"/>
    <n v="7814.94"/>
    <n v="1405.22"/>
  </r>
  <r>
    <x v="2"/>
    <x v="4"/>
    <s v="Enterprise"/>
    <n v="5133.6499999999996"/>
    <m/>
    <n v="82"/>
    <x v="5"/>
    <n v="14010.59"/>
    <m/>
  </r>
  <r>
    <x v="2"/>
    <x v="4"/>
    <s v="SMB"/>
    <n v="3402.32"/>
    <n v="1284.8"/>
    <n v="102"/>
    <x v="5"/>
    <n v="9551.49"/>
    <n v="1284.8"/>
  </r>
  <r>
    <x v="3"/>
    <x v="0"/>
    <s v="Enterprise"/>
    <n v="19246.21"/>
    <n v="5894.5"/>
    <n v="223"/>
    <x v="5"/>
    <n v="32293.24"/>
    <n v="5894.5"/>
  </r>
  <r>
    <x v="3"/>
    <x v="0"/>
    <s v="SMB"/>
    <n v="13037.18"/>
    <n v="3401.5"/>
    <n v="147"/>
    <x v="5"/>
    <n v="23593.51"/>
    <n v="3401.5"/>
  </r>
  <r>
    <x v="3"/>
    <x v="1"/>
    <s v="Enterprise"/>
    <n v="18192.22"/>
    <n v="3653.13"/>
    <n v="183"/>
    <x v="5"/>
    <n v="28276.79"/>
    <n v="3653.13"/>
  </r>
  <r>
    <x v="3"/>
    <x v="1"/>
    <s v="SMB"/>
    <n v="8963.7000000000007"/>
    <n v="2201.7199999999998"/>
    <n v="122"/>
    <x v="5"/>
    <n v="14680.18"/>
    <n v="2201.7199999999998"/>
  </r>
  <r>
    <x v="3"/>
    <x v="2"/>
    <s v="Enterprise"/>
    <n v="12790.85"/>
    <n v="3341.57"/>
    <n v="218"/>
    <x v="5"/>
    <n v="23549.73"/>
    <n v="3341.57"/>
  </r>
  <r>
    <x v="3"/>
    <x v="2"/>
    <s v="SMB"/>
    <n v="7945.66"/>
    <n v="2761.08"/>
    <n v="144"/>
    <x v="5"/>
    <n v="14131.57"/>
    <n v="2761.08"/>
  </r>
  <r>
    <x v="3"/>
    <x v="3"/>
    <s v="Enterprise"/>
    <n v="10173.799999999999"/>
    <n v="2792.92"/>
    <n v="93"/>
    <x v="5"/>
    <n v="14449.38"/>
    <n v="2792.92"/>
  </r>
  <r>
    <x v="3"/>
    <x v="3"/>
    <s v="SMB"/>
    <n v="6428.46"/>
    <n v="1414.34"/>
    <n v="57"/>
    <x v="5"/>
    <n v="9244.0300000000007"/>
    <n v="1414.34"/>
  </r>
  <r>
    <x v="3"/>
    <x v="4"/>
    <s v="Enterprise"/>
    <n v="6327.24"/>
    <n v="3476.83"/>
    <n v="163"/>
    <x v="5"/>
    <n v="18583.57"/>
    <n v="3476.83"/>
  </r>
  <r>
    <x v="3"/>
    <x v="4"/>
    <s v="SMB"/>
    <n v="4978.6400000000003"/>
    <n v="2098.65"/>
    <n v="90"/>
    <x v="5"/>
    <n v="13669.21"/>
    <n v="2098.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C07A22-3FBF-4E72-97E6-0A1CE5FFC544}" name="PivotTable6"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0:D37" firstHeaderRow="0" firstDataRow="1" firstDataCol="1"/>
  <pivotFields count="12">
    <pivotField showAll="0">
      <items count="5">
        <item x="2"/>
        <item x="3"/>
        <item x="1"/>
        <item x="0"/>
        <item t="default"/>
      </items>
    </pivotField>
    <pivotField showAll="0">
      <items count="6">
        <item x="4"/>
        <item x="3"/>
        <item x="2"/>
        <item x="0"/>
        <item x="1"/>
        <item t="default"/>
      </items>
    </pivotField>
    <pivotField showAll="0"/>
    <pivotField showAll="0"/>
    <pivotField showAll="0"/>
    <pivotField showAll="0"/>
    <pivotField axis="axisRow" showAll="0">
      <items count="7">
        <item x="0"/>
        <item x="1"/>
        <item x="2"/>
        <item x="3"/>
        <item x="4"/>
        <item x="5"/>
        <item t="default"/>
      </items>
    </pivotField>
    <pivotField dataField="1" showAll="0"/>
    <pivotField showAll="0"/>
    <pivotField dataField="1" dragToRow="0" dragToCol="0" dragToPage="0" showAll="0" defaultSubtotal="0"/>
    <pivotField dataField="1" dragToRow="0" dragToCol="0" dragToPage="0" showAll="0" defaultSubtotal="0"/>
    <pivotField dragToRow="0" dragToCol="0" dragToPage="0" showAll="0" defaultSubtotal="0"/>
  </pivotFields>
  <rowFields count="1">
    <field x="6"/>
  </rowFields>
  <rowItems count="7">
    <i>
      <x/>
    </i>
    <i>
      <x v="1"/>
    </i>
    <i>
      <x v="2"/>
    </i>
    <i>
      <x v="3"/>
    </i>
    <i>
      <x v="4"/>
    </i>
    <i>
      <x v="5"/>
    </i>
    <i t="grand">
      <x/>
    </i>
  </rowItems>
  <colFields count="1">
    <field x="-2"/>
  </colFields>
  <colItems count="3">
    <i>
      <x/>
    </i>
    <i i="1">
      <x v="1"/>
    </i>
    <i i="2">
      <x v="2"/>
    </i>
  </colItems>
  <dataFields count="3">
    <dataField name="Sum of Revenue_EUR_Corrected" fld="7" baseField="0" baseItem="0" numFmtId="164"/>
    <dataField name="Sum of Operating Profit" fld="9" baseField="0" baseItem="0"/>
    <dataField name="Sum of Gross Margin %" fld="10" baseField="0" baseItem="0" numFmtId="9"/>
  </dataFields>
  <formats count="3">
    <format dxfId="28">
      <pivotArea collapsedLevelsAreSubtotals="1" fieldPosition="0">
        <references count="2">
          <reference field="4294967294" count="1" selected="0">
            <x v="2"/>
          </reference>
          <reference field="6" count="1">
            <x v="0"/>
          </reference>
        </references>
      </pivotArea>
    </format>
    <format dxfId="29">
      <pivotArea outline="0" collapsedLevelsAreSubtotals="1" fieldPosition="0">
        <references count="1">
          <reference field="4294967294" count="1" selected="0">
            <x v="2"/>
          </reference>
        </references>
      </pivotArea>
    </format>
    <format dxfId="30">
      <pivotArea outline="0" collapsedLevelsAreSubtotals="1" fieldPosition="0">
        <references count="1">
          <reference field="4294967294" count="1" selected="0">
            <x v="0"/>
          </reference>
        </references>
      </pivotArea>
    </format>
  </formats>
  <chartFormats count="3">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386985-817A-46E6-9F18-37CF0B2285D6}" name="PivotTable5" cacheId="4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21:B26" firstHeaderRow="1" firstDataRow="1" firstDataCol="1"/>
  <pivotFields count="12">
    <pivotField axis="axisRow" showAll="0" sortType="descending">
      <items count="5">
        <item x="2"/>
        <item x="3"/>
        <item x="1"/>
        <item x="0"/>
        <item t="default"/>
      </items>
      <autoSortScope>
        <pivotArea dataOnly="0" outline="0" fieldPosition="0">
          <references count="1">
            <reference field="4294967294" count="1" selected="0">
              <x v="0"/>
            </reference>
          </references>
        </pivotArea>
      </autoSortScope>
    </pivotField>
    <pivotField showAll="0">
      <items count="6">
        <item x="4"/>
        <item x="3"/>
        <item x="2"/>
        <item x="0"/>
        <item x="1"/>
        <item t="default"/>
      </items>
    </pivotField>
    <pivotField showAll="0"/>
    <pivotField showAll="0"/>
    <pivotField showAll="0"/>
    <pivotField showAll="0"/>
    <pivotField showAll="0">
      <items count="7">
        <item x="3"/>
        <item x="1"/>
        <item x="0"/>
        <item x="5"/>
        <item x="2"/>
        <item x="4"/>
        <item t="default"/>
      </items>
    </pivotField>
    <pivotField showAll="0"/>
    <pivotField showAll="0"/>
    <pivotField dragToRow="0" dragToCol="0" dragToPage="0" showAll="0" defaultSubtotal="0"/>
    <pivotField dataField="1" dragToRow="0" dragToCol="0" dragToPage="0" showAll="0" defaultSubtotal="0"/>
    <pivotField dragToRow="0" dragToCol="0" dragToPage="0" showAll="0" defaultSubtotal="0"/>
  </pivotFields>
  <rowFields count="1">
    <field x="0"/>
  </rowFields>
  <rowItems count="5">
    <i>
      <x v="1"/>
    </i>
    <i>
      <x v="3"/>
    </i>
    <i>
      <x/>
    </i>
    <i>
      <x v="2"/>
    </i>
    <i t="grand">
      <x/>
    </i>
  </rowItems>
  <colItems count="1">
    <i/>
  </colItems>
  <dataFields count="1">
    <dataField name="Sum of Gross Margin %" fld="10" baseField="0" baseItem="0" numFmtId="9"/>
  </dataFields>
  <formats count="1">
    <format dxfId="26">
      <pivotArea outline="0" collapsedLevelsAreSubtotals="1" fieldPosition="0"/>
    </format>
  </formats>
  <chartFormats count="1">
    <chartFormat chart="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625985-1E2D-43AB-AC95-D5CFC986398F}" name="PivotTable4" cacheId="43"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location ref="A12:B18" firstHeaderRow="1" firstDataRow="1" firstDataCol="1"/>
  <pivotFields count="12">
    <pivotField showAll="0">
      <items count="5">
        <item x="2"/>
        <item x="3"/>
        <item x="1"/>
        <item x="0"/>
        <item t="default"/>
      </items>
    </pivotField>
    <pivotField axis="axisRow" showAll="0" sortType="descending">
      <items count="6">
        <item x="4"/>
        <item x="3"/>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7">
        <item x="3"/>
        <item x="1"/>
        <item x="0"/>
        <item x="5"/>
        <item x="2"/>
        <item x="4"/>
        <item t="default"/>
      </items>
    </pivotField>
    <pivotField showAll="0"/>
    <pivotField showAll="0"/>
    <pivotField dragToRow="0" dragToCol="0" dragToPage="0" showAll="0" defaultSubtotal="0"/>
    <pivotField dataField="1" dragToRow="0" dragToCol="0" dragToPage="0" showAll="0" defaultSubtotal="0"/>
    <pivotField dragToRow="0" dragToCol="0" dragToPage="0" showAll="0" defaultSubtotal="0"/>
  </pivotFields>
  <rowFields count="1">
    <field x="1"/>
  </rowFields>
  <rowItems count="6">
    <i>
      <x/>
    </i>
    <i>
      <x v="2"/>
    </i>
    <i>
      <x v="3"/>
    </i>
    <i>
      <x v="4"/>
    </i>
    <i>
      <x v="1"/>
    </i>
    <i t="grand">
      <x/>
    </i>
  </rowItems>
  <colItems count="1">
    <i/>
  </colItems>
  <dataFields count="1">
    <dataField name="Sum of Gross Margin %" fld="10" baseField="0" baseItem="0" numFmtId="9"/>
  </dataFields>
  <formats count="1">
    <format dxfId="27">
      <pivotArea outline="0" collapsedLevelsAreSubtotals="1" fieldPosition="0"/>
    </format>
  </formats>
  <chartFormats count="1">
    <chartFormat chart="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7CEE620-A5F5-4DD8-B807-2A8AFB882DC9}" name="PivotTable3" cacheId="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 firstHeaderRow="0" firstDataRow="1" firstDataCol="1"/>
  <pivotFields count="12">
    <pivotField showAll="0">
      <items count="5">
        <item x="2"/>
        <item x="3"/>
        <item x="1"/>
        <item x="0"/>
        <item t="default"/>
      </items>
    </pivotField>
    <pivotField showAll="0">
      <items count="6">
        <item x="4"/>
        <item x="3"/>
        <item x="2"/>
        <item x="0"/>
        <item x="1"/>
        <item t="default"/>
      </items>
    </pivotField>
    <pivotField showAll="0"/>
    <pivotField showAll="0"/>
    <pivotField showAll="0"/>
    <pivotField showAll="0"/>
    <pivotField axis="axisRow" showAll="0">
      <items count="7">
        <item x="0"/>
        <item x="1"/>
        <item x="2"/>
        <item x="3"/>
        <item x="4"/>
        <item x="5"/>
        <item t="default"/>
      </items>
    </pivotField>
    <pivotField dataField="1" showAll="0"/>
    <pivotField showAll="0"/>
    <pivotField dataField="1" dragToRow="0" dragToCol="0" dragToPage="0" showAll="0" defaultSubtotal="0"/>
    <pivotField dataField="1" dragToRow="0" dragToCol="0" dragToPage="0" showAll="0" defaultSubtotal="0"/>
    <pivotField dataField="1" dragToRow="0" dragToCol="0" dragToPage="0" showAll="0" defaultSubtotal="0"/>
  </pivotFields>
  <rowFields count="1">
    <field x="6"/>
  </rowFields>
  <rowItems count="7">
    <i>
      <x/>
    </i>
    <i>
      <x v="1"/>
    </i>
    <i>
      <x v="2"/>
    </i>
    <i>
      <x v="3"/>
    </i>
    <i>
      <x v="4"/>
    </i>
    <i>
      <x v="5"/>
    </i>
    <i t="grand">
      <x/>
    </i>
  </rowItems>
  <colFields count="1">
    <field x="-2"/>
  </colFields>
  <colItems count="4">
    <i>
      <x/>
    </i>
    <i i="1">
      <x v="1"/>
    </i>
    <i i="2">
      <x v="2"/>
    </i>
    <i i="3">
      <x v="3"/>
    </i>
  </colItems>
  <dataFields count="4">
    <dataField name="Sum of Revenue_EUR_Corrected" fld="7" baseField="0" baseItem="0" numFmtId="164"/>
    <dataField name="Sum of Operating Profit" fld="9" baseField="0" baseItem="0" numFmtId="164"/>
    <dataField name="Sum of Operating Margin" fld="11" baseField="0" baseItem="0" numFmtId="9"/>
    <dataField name="Sum of Gross Margin %" fld="10" baseField="0" baseItem="0" numFmtId="9"/>
  </dataFields>
  <formats count="6">
    <format dxfId="22">
      <pivotArea outline="0" collapsedLevelsAreSubtotals="1" fieldPosition="0">
        <references count="1">
          <reference field="4294967294" count="1" selected="0">
            <x v="0"/>
          </reference>
        </references>
      </pivotArea>
    </format>
    <format dxfId="23">
      <pivotArea outline="0" collapsedLevelsAreSubtotals="1" fieldPosition="0">
        <references count="1">
          <reference field="4294967294" count="1" selected="0">
            <x v="1"/>
          </reference>
        </references>
      </pivotArea>
    </format>
    <format dxfId="24">
      <pivotArea outline="0" collapsedLevelsAreSubtotals="1" fieldPosition="0">
        <references count="1">
          <reference field="4294967294" count="1" selected="0">
            <x v="2"/>
          </reference>
        </references>
      </pivotArea>
    </format>
    <format dxfId="25">
      <pivotArea dataOnly="0" labelOnly="1" outline="0" fieldPosition="0">
        <references count="1">
          <reference field="4294967294" count="1">
            <x v="2"/>
          </reference>
        </references>
      </pivotArea>
    </format>
    <format dxfId="17">
      <pivotArea collapsedLevelsAreSubtotals="1" fieldPosition="0">
        <references count="2">
          <reference field="4294967294" count="1" selected="0">
            <x v="3"/>
          </reference>
          <reference field="6" count="1">
            <x v="1"/>
          </reference>
        </references>
      </pivotArea>
    </format>
    <format dxfId="11">
      <pivotArea outline="0" collapsedLevelsAreSubtotals="1" fieldPosition="0">
        <references count="1">
          <reference field="4294967294" count="1" selected="0">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7" connectionId="2" xr16:uid="{4299B7FE-BD1B-4E8A-9BAB-8F801EF21738}" autoFormatId="16" applyNumberFormats="0" applyBorderFormats="0" applyFontFormats="0" applyPatternFormats="0" applyAlignmentFormats="0" applyWidthHeightFormats="0">
  <queryTableRefresh nextId="13">
    <queryTableFields count="9">
      <queryTableField id="1" name="Country" tableColumnId="1"/>
      <queryTableField id="2" name="ProductLine" tableColumnId="2"/>
      <queryTableField id="3" name="CustomerSegment" tableColumnId="3"/>
      <queryTableField id="5" name="COGS_EUR" tableColumnId="5"/>
      <queryTableField id="6" name="OperatingExpenses_EUR" tableColumnId="6"/>
      <queryTableField id="7" name="UnitsSold" tableColumnId="7"/>
      <queryTableField id="8" name="Month" tableColumnId="8"/>
      <queryTableField id="11" name="Revenue_EUR_Corrected" tableColumnId="4"/>
      <queryTableField id="12" name="OperatingExpenses_Eur2" tableColumnId="9"/>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6" connectionId="7" xr16:uid="{46E145D6-22CE-4127-92DE-7F7C3584A4A0}" autoFormatId="16" applyNumberFormats="0" applyBorderFormats="0" applyFontFormats="0" applyPatternFormats="0" applyAlignmentFormats="0" applyWidthHeightFormats="0">
  <queryTableRefresh nextId="9">
    <queryTableFields count="8">
      <queryTableField id="1" name="Country" tableColumnId="1"/>
      <queryTableField id="2" name="ProductLine" tableColumnId="2"/>
      <queryTableField id="3" name="CustomerSegment" tableColumnId="3"/>
      <queryTableField id="4" name="Revenue_EUR" tableColumnId="4"/>
      <queryTableField id="5" name="COGS_EUR" tableColumnId="5"/>
      <queryTableField id="6" name="OperatingExpenses_Eur" tableColumnId="6"/>
      <queryTableField id="7" name="UnitsSold" tableColumnId="7"/>
      <queryTableField id="8" name="Month"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5" connectionId="6" xr16:uid="{919BF6FD-089B-4C21-AA12-65F26D823FBE}" autoFormatId="16" applyNumberFormats="0" applyBorderFormats="0" applyFontFormats="0" applyPatternFormats="0" applyAlignmentFormats="0" applyWidthHeightFormats="0">
  <queryTableRefresh nextId="9">
    <queryTableFields count="8">
      <queryTableField id="1" name="ProductLine" tableColumnId="1"/>
      <queryTableField id="2" name="Country" tableColumnId="2"/>
      <queryTableField id="3" name="CustomerSegment" tableColumnId="3"/>
      <queryTableField id="4" name="UnitsSold" tableColumnId="4"/>
      <queryTableField id="5" name="Revenue_EUR" tableColumnId="5"/>
      <queryTableField id="6" name="COGS_EUR" tableColumnId="6"/>
      <queryTableField id="7" name="OperatingExpenses_EUR" tableColumnId="7"/>
      <queryTableField id="8" name="Month" tableColumn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5" xr16:uid="{1AF2A82E-B127-482D-A4E9-E0EE0D167326}" autoFormatId="16" applyNumberFormats="0" applyBorderFormats="0" applyFontFormats="0" applyPatternFormats="0" applyAlignmentFormats="0" applyWidthHeightFormats="0">
  <queryTableRefresh nextId="9">
    <queryTableFields count="8">
      <queryTableField id="1" name="CustomerSegment" tableColumnId="1"/>
      <queryTableField id="2" name="Country" tableColumnId="2"/>
      <queryTableField id="3" name="ProductLine" tableColumnId="3"/>
      <queryTableField id="4" name="Revenue_EUR" tableColumnId="4"/>
      <queryTableField id="5" name="COGS_EUR" tableColumnId="5"/>
      <queryTableField id="6" name="OperatingExpenses_EUR" tableColumnId="6"/>
      <queryTableField id="7" name="UnitsSold" tableColumnId="7"/>
      <queryTableField id="8" name="Month" tableColumn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3" connectionId="4" xr16:uid="{88860E20-87F8-4830-8AD5-A411C0BE3533}" autoFormatId="16" applyNumberFormats="0" applyBorderFormats="0" applyFontFormats="0" applyPatternFormats="0" applyAlignmentFormats="0" applyWidthHeightFormats="0">
  <queryTableRefresh nextId="9">
    <queryTableFields count="8">
      <queryTableField id="1" name="Country" tableColumnId="1"/>
      <queryTableField id="2" name="ProductLine" tableColumnId="2"/>
      <queryTableField id="3" name="CustomerSegment" tableColumnId="3"/>
      <queryTableField id="4" name="Revenue_EUR" tableColumnId="4"/>
      <queryTableField id="5" name="COGS_EUR" tableColumnId="5"/>
      <queryTableField id="6" name="OperatingExpenses_EUR" tableColumnId="6"/>
      <queryTableField id="7" name="UnitsSold" tableColumnId="7"/>
      <queryTableField id="8" name="Month"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3" xr16:uid="{18357B84-EC4B-485C-A497-F797ED4FE646}" autoFormatId="16" applyNumberFormats="0" applyBorderFormats="0" applyFontFormats="0" applyPatternFormats="0" applyAlignmentFormats="0" applyWidthHeightFormats="0">
  <queryTableRefresh nextId="9">
    <queryTableFields count="8">
      <queryTableField id="1" name="Country" tableColumnId="1"/>
      <queryTableField id="2" name="ProductLine" tableColumnId="2"/>
      <queryTableField id="3" name="CustomerSegment" tableColumnId="3"/>
      <queryTableField id="4" name="Revenue_EUR" tableColumnId="4"/>
      <queryTableField id="5" name="COGS_EUR" tableColumnId="5"/>
      <queryTableField id="6" name="OperatingExpenses_EUR" tableColumnId="6"/>
      <queryTableField id="7" name="UnitsSold" tableColumnId="7"/>
      <queryTableField id="8" name="Month" tableColumnId="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1" xr16:uid="{1DCECEC9-2F3E-40FC-B526-F54577084D34}" autoFormatId="16" applyNumberFormats="0" applyBorderFormats="0" applyFontFormats="0" applyPatternFormats="0" applyAlignmentFormats="0" applyWidthHeightFormats="0">
  <queryTableRefresh nextId="9">
    <queryTableFields count="8">
      <queryTableField id="1" name="Country" tableColumnId="1"/>
      <queryTableField id="2" name="ProductLine" tableColumnId="2"/>
      <queryTableField id="3" name="CustomerSegment" tableColumnId="3"/>
      <queryTableField id="4" name="Revenue_EUR" tableColumnId="4"/>
      <queryTableField id="5" name="COGS_EUR" tableColumnId="5"/>
      <queryTableField id="6" name="OperatingExpenses_Eur" tableColumnId="6"/>
      <queryTableField id="7" name="UnitsSold" tableColumnId="7"/>
      <queryTableField id="8" name="Month"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F8C92DB7-867B-4B11-8E62-F778A414C22B}" sourceName="Country">
  <pivotTables>
    <pivotTable tabId="17" name="PivotTable4"/>
    <pivotTable tabId="17" name="PivotTable3"/>
    <pivotTable tabId="17" name="PivotTable5"/>
    <pivotTable tabId="17" name="PivotTable6"/>
  </pivotTables>
  <data>
    <tabular pivotCacheId="1332742671">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Line" xr10:uid="{C0865A36-E0B2-4DAE-9D5B-66F2C16A99A8}" sourceName="ProductLine">
  <pivotTables>
    <pivotTable tabId="17" name="PivotTable4"/>
    <pivotTable tabId="17" name="PivotTable3"/>
    <pivotTable tabId="17" name="PivotTable5"/>
    <pivotTable tabId="17" name="PivotTable6"/>
  </pivotTables>
  <data>
    <tabular pivotCacheId="1332742671">
      <items count="5">
        <i x="4" s="1"/>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7C5876E-31EA-41C5-9E48-8C29407AB8D0}" sourceName="Month">
  <pivotTables>
    <pivotTable tabId="17" name="PivotTable4"/>
    <pivotTable tabId="17" name="PivotTable3"/>
    <pivotTable tabId="17" name="PivotTable5"/>
    <pivotTable tabId="17" name="PivotTable6"/>
  </pivotTables>
  <data>
    <tabular pivotCacheId="1332742671">
      <items count="6">
        <i x="3" s="1"/>
        <i x="1" s="1"/>
        <i x="0" s="1"/>
        <i x="5"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316104A-5D1A-41AF-9456-71F6085B1DB5}" cache="Slicer_Country" caption="Country" style="SlicerStyleDark1" rowHeight="648000"/>
  <slicer name="ProductLine" xr10:uid="{1252CEC9-38F8-4D57-B3CD-300B7F8262F6}" cache="Slicer_ProductLine" caption="ProductLine" style="SlicerStyleDark1" rowHeight="540000"/>
  <slicer name="Month" xr10:uid="{616C6927-38CD-414F-94C6-9ED5447FBD50}" cache="Slicer_Month" caption="Month" style="SlicerStyleDark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5CAB382-A557-40C0-9AE5-389CA5537D49}" name="Combined_Data" displayName="Combined_Data" ref="A1:I234" tableType="queryTable" totalsRowShown="0">
  <autoFilter ref="A1:I234" xr:uid="{25CAB382-A557-40C0-9AE5-389CA5537D49}">
    <filterColumn colId="0">
      <filters>
        <filter val="Germany"/>
      </filters>
    </filterColumn>
  </autoFilter>
  <tableColumns count="9">
    <tableColumn id="1" xr3:uid="{0021359B-CB12-4D2D-A846-86B2A51146DD}" uniqueName="1" name="Country" queryTableFieldId="1" dataDxfId="51"/>
    <tableColumn id="2" xr3:uid="{DC371003-0177-41DA-BEF3-021ED7A4E18E}" uniqueName="2" name="ProductLine" queryTableFieldId="2" dataDxfId="50"/>
    <tableColumn id="3" xr3:uid="{75F18F6A-8A83-4890-BEF7-94ECED6A9AB8}" uniqueName="3" name="CustomerSegment" queryTableFieldId="3" dataDxfId="49"/>
    <tableColumn id="5" xr3:uid="{6F574FB7-2142-48EE-A5C3-FD56332F3BD2}" uniqueName="5" name="COGS_EUR" queryTableFieldId="5"/>
    <tableColumn id="6" xr3:uid="{799F5B18-465F-4F9E-92A6-2E97EED919D5}" uniqueName="6" name="OperatingExpenses_EUR" queryTableFieldId="6"/>
    <tableColumn id="7" xr3:uid="{8AA51CEF-D5CB-4AF8-B65B-4E4F6AD92BD0}" uniqueName="7" name="UnitsSold" queryTableFieldId="7"/>
    <tableColumn id="8" xr3:uid="{9AD3D355-BE71-41B0-B781-E87203C9DDAA}" uniqueName="8" name="Month" queryTableFieldId="8"/>
    <tableColumn id="4" xr3:uid="{FAEA0E55-0003-4B4F-B9C4-E60423B1A70B}" uniqueName="4" name="Revenue_EUR_Corrected" queryTableFieldId="11"/>
    <tableColumn id="9" xr3:uid="{CB271E8D-D676-4628-AFF1-D99BCFF1DE25}" uniqueName="9" name="OperatingExpenses_Eur2" queryTableFieldId="1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F8A2A21-6508-4DDB-8974-C89472ECEBE3}" name="May_2024" displayName="May_2024" ref="A1:H41" tableType="queryTable" totalsRowShown="0">
  <autoFilter ref="A1:H41" xr:uid="{0F8A2A21-6508-4DDB-8974-C89472ECEBE3}"/>
  <tableColumns count="8">
    <tableColumn id="1" xr3:uid="{55BEAEA0-C7DA-473C-9039-345115CC84AC}" uniqueName="1" name="Country" queryTableFieldId="1" dataDxfId="48"/>
    <tableColumn id="2" xr3:uid="{0BCE3C63-4F5D-4D81-98D9-AFD60370C545}" uniqueName="2" name="ProductLine" queryTableFieldId="2" dataDxfId="47"/>
    <tableColumn id="3" xr3:uid="{553A811C-7FFE-4BE8-B996-E34D930B5E56}" uniqueName="3" name="CustomerSegment" queryTableFieldId="3" dataDxfId="46"/>
    <tableColumn id="4" xr3:uid="{0F25BE43-8EE6-41EC-9201-511C691703FD}" uniqueName="4" name="Revenue_EUR" queryTableFieldId="4"/>
    <tableColumn id="5" xr3:uid="{0216A6D1-E76A-4666-8530-E4A7A62557A4}" uniqueName="5" name="COGS_EUR" queryTableFieldId="5"/>
    <tableColumn id="6" xr3:uid="{E343D0B8-846C-406B-9FA8-B8F79C095C92}" uniqueName="6" name="OperatingExpenses_Eur" queryTableFieldId="6"/>
    <tableColumn id="7" xr3:uid="{862E4737-644B-41A7-A672-0A405DB7CD8C}" uniqueName="7" name="UnitsSold" queryTableFieldId="7"/>
    <tableColumn id="8" xr3:uid="{995B8317-EB55-4C02-8197-4A8318D38E75}" uniqueName="8" name="Month" queryTableFieldId="8"/>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E82A0AD-EF4D-407F-AC99-6C999FFB41E2}" name="Mar_2024" displayName="Mar_2024" ref="A1:H41" tableType="queryTable" totalsRowShown="0">
  <autoFilter ref="A1:H41" xr:uid="{AE82A0AD-EF4D-407F-AC99-6C999FFB41E2}"/>
  <tableColumns count="8">
    <tableColumn id="1" xr3:uid="{31564D9E-1BFA-48BB-B223-42C19922D737}" uniqueName="1" name="ProductLine" queryTableFieldId="1" dataDxfId="45"/>
    <tableColumn id="2" xr3:uid="{97188E6A-B76F-442B-AE69-43FBB02850C2}" uniqueName="2" name="Country" queryTableFieldId="2" dataDxfId="44"/>
    <tableColumn id="3" xr3:uid="{094B48A6-DDE1-4F55-8147-AC2138F6DB75}" uniqueName="3" name="CustomerSegment" queryTableFieldId="3" dataDxfId="43"/>
    <tableColumn id="4" xr3:uid="{5FF37F63-0F4C-40C2-9E2C-8E3410571476}" uniqueName="4" name="UnitsSold" queryTableFieldId="4"/>
    <tableColumn id="5" xr3:uid="{37A39A75-4412-40F7-A5F8-73C997AFEAA7}" uniqueName="5" name="Revenue_EUR" queryTableFieldId="5"/>
    <tableColumn id="6" xr3:uid="{481AD544-F73A-4316-9466-3C0FA9FBF5F8}" uniqueName="6" name="COGS_EUR" queryTableFieldId="6"/>
    <tableColumn id="7" xr3:uid="{39EBBEE2-4363-4348-8A9E-837CF23D09E5}" uniqueName="7" name="OperatingExpenses_EUR" queryTableFieldId="7"/>
    <tableColumn id="8" xr3:uid="{1D4878ED-3AEC-4235-A1CD-C552CDE9404A}" uniqueName="8" name="Month" queryTableFieldId="8"/>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AAC779D-DFB8-4356-BA38-06E95D61AF7C}" name="Jun_2024" displayName="Jun_2024" ref="A1:H41" tableType="queryTable" totalsRowShown="0">
  <autoFilter ref="A1:H41" xr:uid="{9AAC779D-DFB8-4356-BA38-06E95D61AF7C}"/>
  <tableColumns count="8">
    <tableColumn id="1" xr3:uid="{B4F6A7E1-C6B1-4947-97E5-F544CBC7F9B6}" uniqueName="1" name="CustomerSegment" queryTableFieldId="1" dataDxfId="42"/>
    <tableColumn id="2" xr3:uid="{F8573898-4843-43EE-AEF3-B82C693150CC}" uniqueName="2" name="Country" queryTableFieldId="2" dataDxfId="41"/>
    <tableColumn id="3" xr3:uid="{642353DE-592F-4C38-98A4-A111586578FB}" uniqueName="3" name="ProductLine" queryTableFieldId="3" dataDxfId="40"/>
    <tableColumn id="4" xr3:uid="{B7BAB877-0FE3-4DD6-9A81-E59AC8F1F213}" uniqueName="4" name="Revenue_EUR" queryTableFieldId="4"/>
    <tableColumn id="5" xr3:uid="{1CFEAFC2-AD56-4439-8512-B24B74CDDA1D}" uniqueName="5" name="COGS_EUR" queryTableFieldId="5"/>
    <tableColumn id="6" xr3:uid="{5D34FAC8-0DF7-4DF3-B92A-2C16D6A1320A}" uniqueName="6" name="OperatingExpenses_EUR" queryTableFieldId="6"/>
    <tableColumn id="7" xr3:uid="{65382D9C-5D8E-46A8-AB71-E2852A07D259}" uniqueName="7" name="UnitsSold" queryTableFieldId="7"/>
    <tableColumn id="8" xr3:uid="{34C6689F-520D-4392-B1E7-5ACF87D8CE9B}" uniqueName="8" name="Month" queryTableFieldId="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CA2E318-FD63-4CC3-BFE2-D94E34AEBE5E}" name="Jan_2024" displayName="Jan_2024" ref="A1:H41" tableType="queryTable" totalsRowShown="0">
  <autoFilter ref="A1:H41" xr:uid="{2CA2E318-FD63-4CC3-BFE2-D94E34AEBE5E}"/>
  <tableColumns count="8">
    <tableColumn id="1" xr3:uid="{8F69AC13-FC8C-4307-97E0-90F661DE0519}" uniqueName="1" name="Country" queryTableFieldId="1" dataDxfId="39"/>
    <tableColumn id="2" xr3:uid="{DAF763DB-2A49-4747-8DA2-8F2E92B04347}" uniqueName="2" name="ProductLine" queryTableFieldId="2" dataDxfId="38"/>
    <tableColumn id="3" xr3:uid="{BEF4C0F6-18B7-4692-B1BC-62C130C423F1}" uniqueName="3" name="CustomerSegment" queryTableFieldId="3" dataDxfId="37"/>
    <tableColumn id="4" xr3:uid="{0B4245D0-0541-4281-A6FB-9BB71A925D8E}" uniqueName="4" name="Revenue_EUR" queryTableFieldId="4"/>
    <tableColumn id="5" xr3:uid="{A141F698-8AC3-4A2C-B1F7-41B96DB3D3D3}" uniqueName="5" name="COGS_EUR" queryTableFieldId="5"/>
    <tableColumn id="6" xr3:uid="{3E3F428E-0784-4987-B58A-046C4AACC151}" uniqueName="6" name="OperatingExpenses_EUR" queryTableFieldId="6"/>
    <tableColumn id="7" xr3:uid="{6FDB53D9-75D6-4C16-A12F-11B3B2C70F51}" uniqueName="7" name="UnitsSold" queryTableFieldId="7"/>
    <tableColumn id="8" xr3:uid="{B056BD8F-E495-4B40-B469-1F40E2AC71D2}" uniqueName="8" name="Month" queryTableFieldId="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70EC74F-C2AB-4A4F-B2BB-F33215599887}" name="Feb_2024" displayName="Feb_2024" ref="A1:H41" tableType="queryTable" totalsRowShown="0">
  <autoFilter ref="A1:H41" xr:uid="{F70EC74F-C2AB-4A4F-B2BB-F33215599887}"/>
  <tableColumns count="8">
    <tableColumn id="1" xr3:uid="{8EB88486-FFFD-4A02-8755-A4D125EC3B06}" uniqueName="1" name="Country" queryTableFieldId="1" dataDxfId="36"/>
    <tableColumn id="2" xr3:uid="{98E182B9-3E7B-4BA0-8A3B-53CF0BF29E1F}" uniqueName="2" name="ProductLine" queryTableFieldId="2" dataDxfId="35"/>
    <tableColumn id="3" xr3:uid="{F5BE4561-4B06-417D-8220-B853E5C68659}" uniqueName="3" name="CustomerSegment" queryTableFieldId="3" dataDxfId="34"/>
    <tableColumn id="4" xr3:uid="{21405916-29A7-4D9C-9AB5-6986339300F2}" uniqueName="4" name="Revenue_EUR" queryTableFieldId="4"/>
    <tableColumn id="5" xr3:uid="{59629EE8-C91D-4667-A03E-FCFA4597FD32}" uniqueName="5" name="COGS_EUR" queryTableFieldId="5"/>
    <tableColumn id="6" xr3:uid="{3F8B71FE-AD53-4FC3-9028-71A61C3BCE2A}" uniqueName="6" name="OperatingExpenses_EUR" queryTableFieldId="6"/>
    <tableColumn id="7" xr3:uid="{3DDA6A7B-A05A-4810-AF1D-573A5DE39D30}" uniqueName="7" name="UnitsSold" queryTableFieldId="7"/>
    <tableColumn id="8" xr3:uid="{1CED5C1E-2E91-470C-9ECD-B787813E9172}" uniqueName="8" name="Month" queryTableFieldId="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2A71C8-5873-437E-807A-956C7FC25874}" name="Apr_2024" displayName="Apr_2024" ref="A1:H41" tableType="queryTable" totalsRowShown="0">
  <autoFilter ref="A1:H41" xr:uid="{DD2A71C8-5873-437E-807A-956C7FC25874}"/>
  <tableColumns count="8">
    <tableColumn id="1" xr3:uid="{B839FA88-3889-4F7E-BB3D-76C62AF92856}" uniqueName="1" name="Country" queryTableFieldId="1" dataDxfId="33"/>
    <tableColumn id="2" xr3:uid="{3164C16F-70BD-4CA0-9940-2EAF0DBD2280}" uniqueName="2" name="ProductLine" queryTableFieldId="2" dataDxfId="32"/>
    <tableColumn id="3" xr3:uid="{C0E6D8CD-86DD-4DEB-83BD-BE513B69C374}" uniqueName="3" name="CustomerSegment" queryTableFieldId="3" dataDxfId="31"/>
    <tableColumn id="4" xr3:uid="{056F2C8A-AF76-4854-AC54-63EC82D04673}" uniqueName="4" name="Revenue_EUR" queryTableFieldId="4"/>
    <tableColumn id="5" xr3:uid="{E947D1D3-68C4-4C24-BC14-36F5AF325716}" uniqueName="5" name="COGS_EUR" queryTableFieldId="5"/>
    <tableColumn id="6" xr3:uid="{98282E12-7174-47D5-AF05-06E869BFB49D}" uniqueName="6" name="OperatingExpenses_Eur" queryTableFieldId="6"/>
    <tableColumn id="7" xr3:uid="{43D3F6E7-21B5-4431-B35E-09A1E2155DE8}" uniqueName="7" name="UnitsSold" queryTableFieldId="7"/>
    <tableColumn id="8" xr3:uid="{0B84BE79-8622-404D-AA9E-65FF407131B1}" uniqueName="8" name="Month" queryTableField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1F4B3-E82B-49F3-ADE3-FE4A8258E74F}">
  <dimension ref="A1:B33"/>
  <sheetViews>
    <sheetView zoomScale="66" workbookViewId="0">
      <selection activeCell="F26" sqref="F26"/>
    </sheetView>
  </sheetViews>
  <sheetFormatPr defaultRowHeight="14.4" x14ac:dyDescent="0.3"/>
  <sheetData>
    <row r="1" spans="1:2" ht="23.4" x14ac:dyDescent="0.3">
      <c r="A1" s="8"/>
    </row>
    <row r="2" spans="1:2" x14ac:dyDescent="0.3">
      <c r="B2" s="5" t="s">
        <v>51</v>
      </c>
    </row>
    <row r="3" spans="1:2" x14ac:dyDescent="0.3">
      <c r="B3" s="6"/>
    </row>
    <row r="4" spans="1:2" x14ac:dyDescent="0.3">
      <c r="B4" s="7" t="s">
        <v>52</v>
      </c>
    </row>
    <row r="5" spans="1:2" ht="23.4" x14ac:dyDescent="0.3">
      <c r="A5" s="8"/>
      <c r="B5" s="6"/>
    </row>
    <row r="6" spans="1:2" x14ac:dyDescent="0.3">
      <c r="B6" s="7" t="s">
        <v>53</v>
      </c>
    </row>
    <row r="7" spans="1:2" x14ac:dyDescent="0.3">
      <c r="A7" s="5"/>
      <c r="B7" s="6"/>
    </row>
    <row r="8" spans="1:2" x14ac:dyDescent="0.3">
      <c r="B8" s="7" t="s">
        <v>54</v>
      </c>
    </row>
    <row r="9" spans="1:2" x14ac:dyDescent="0.3">
      <c r="A9" s="5"/>
      <c r="B9" s="6"/>
    </row>
    <row r="10" spans="1:2" x14ac:dyDescent="0.3">
      <c r="B10" s="7" t="s">
        <v>55</v>
      </c>
    </row>
    <row r="11" spans="1:2" x14ac:dyDescent="0.3">
      <c r="A11" s="5"/>
    </row>
    <row r="12" spans="1:2" x14ac:dyDescent="0.3">
      <c r="B12" s="5" t="s">
        <v>56</v>
      </c>
    </row>
    <row r="13" spans="1:2" x14ac:dyDescent="0.3">
      <c r="A13" s="5"/>
      <c r="B13" s="6"/>
    </row>
    <row r="14" spans="1:2" x14ac:dyDescent="0.3">
      <c r="B14" s="7" t="s">
        <v>57</v>
      </c>
    </row>
    <row r="15" spans="1:2" x14ac:dyDescent="0.3">
      <c r="A15" s="5"/>
      <c r="B15" s="6"/>
    </row>
    <row r="16" spans="1:2" x14ac:dyDescent="0.3">
      <c r="B16" s="7" t="s">
        <v>58</v>
      </c>
    </row>
    <row r="17" spans="1:2" x14ac:dyDescent="0.3">
      <c r="A17" s="5"/>
      <c r="B17" s="6"/>
    </row>
    <row r="18" spans="1:2" x14ac:dyDescent="0.3">
      <c r="B18" s="7" t="s">
        <v>59</v>
      </c>
    </row>
    <row r="19" spans="1:2" x14ac:dyDescent="0.3">
      <c r="A19" s="5"/>
      <c r="B19" s="6"/>
    </row>
    <row r="20" spans="1:2" x14ac:dyDescent="0.3">
      <c r="B20" s="7" t="s">
        <v>60</v>
      </c>
    </row>
    <row r="21" spans="1:2" x14ac:dyDescent="0.3">
      <c r="A21" s="5"/>
    </row>
    <row r="23" spans="1:2" x14ac:dyDescent="0.3">
      <c r="A23" s="5"/>
    </row>
    <row r="25" spans="1:2" x14ac:dyDescent="0.3">
      <c r="A25" s="5"/>
    </row>
    <row r="27" spans="1:2" ht="23.4" x14ac:dyDescent="0.3">
      <c r="A27" s="8"/>
    </row>
    <row r="28" spans="1:2" x14ac:dyDescent="0.3">
      <c r="A28" s="6"/>
    </row>
    <row r="29" spans="1:2" x14ac:dyDescent="0.3">
      <c r="A29" s="7"/>
    </row>
    <row r="30" spans="1:2" x14ac:dyDescent="0.3">
      <c r="A30" s="6"/>
    </row>
    <row r="31" spans="1:2" x14ac:dyDescent="0.3">
      <c r="A31" s="6"/>
    </row>
    <row r="32" spans="1:2" x14ac:dyDescent="0.3">
      <c r="A32" s="6"/>
    </row>
    <row r="33" spans="1:1" x14ac:dyDescent="0.3">
      <c r="A33"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26E93-2235-4EC8-B460-2E8A48BC121E}">
  <dimension ref="C1:V2"/>
  <sheetViews>
    <sheetView tabSelected="1" zoomScale="70" workbookViewId="0">
      <selection activeCell="Y17" sqref="Y17"/>
    </sheetView>
  </sheetViews>
  <sheetFormatPr defaultRowHeight="14.4" x14ac:dyDescent="0.3"/>
  <sheetData>
    <row r="1" spans="3:22" x14ac:dyDescent="0.3">
      <c r="C1" s="10" t="s">
        <v>50</v>
      </c>
      <c r="D1" s="10"/>
      <c r="E1" s="10"/>
      <c r="F1" s="10"/>
      <c r="G1" s="10"/>
      <c r="H1" s="10"/>
      <c r="I1" s="10"/>
      <c r="J1" s="10"/>
      <c r="K1" s="10"/>
      <c r="L1" s="10"/>
      <c r="M1" s="10"/>
      <c r="N1" s="10"/>
      <c r="O1" s="10"/>
      <c r="P1" s="10"/>
      <c r="Q1" s="10"/>
      <c r="R1" s="10"/>
      <c r="S1" s="10"/>
      <c r="T1" s="10"/>
      <c r="U1" s="10"/>
      <c r="V1" s="10"/>
    </row>
    <row r="2" spans="3:22" x14ac:dyDescent="0.3">
      <c r="C2" s="10"/>
      <c r="D2" s="10"/>
      <c r="E2" s="10"/>
      <c r="F2" s="10"/>
      <c r="G2" s="10"/>
      <c r="H2" s="10"/>
      <c r="I2" s="10"/>
      <c r="J2" s="10"/>
      <c r="K2" s="10"/>
      <c r="L2" s="10"/>
      <c r="M2" s="10"/>
      <c r="N2" s="10"/>
      <c r="O2" s="10"/>
      <c r="P2" s="10"/>
      <c r="Q2" s="10"/>
      <c r="R2" s="10"/>
      <c r="S2" s="10"/>
      <c r="T2" s="10"/>
      <c r="U2" s="10"/>
      <c r="V2" s="10"/>
    </row>
  </sheetData>
  <mergeCells count="1">
    <mergeCell ref="C1:V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D009C-A64A-4470-BF34-2F3310F56EB2}">
  <dimension ref="A3:E37"/>
  <sheetViews>
    <sheetView workbookViewId="0">
      <selection activeCell="B15" sqref="B15"/>
    </sheetView>
  </sheetViews>
  <sheetFormatPr defaultRowHeight="14.4" x14ac:dyDescent="0.3"/>
  <cols>
    <col min="1" max="1" width="12.5546875" bestFit="1" customWidth="1"/>
    <col min="2" max="2" width="28.88671875" bestFit="1" customWidth="1"/>
    <col min="3" max="3" width="21.109375" bestFit="1" customWidth="1"/>
    <col min="4" max="4" width="22.5546875" bestFit="1" customWidth="1"/>
    <col min="5" max="5" width="20.5546875" bestFit="1" customWidth="1"/>
  </cols>
  <sheetData>
    <row r="3" spans="1:5" x14ac:dyDescent="0.3">
      <c r="A3" s="1" t="s">
        <v>44</v>
      </c>
      <c r="B3" t="s">
        <v>47</v>
      </c>
      <c r="C3" t="s">
        <v>48</v>
      </c>
      <c r="D3" s="3" t="s">
        <v>61</v>
      </c>
      <c r="E3" t="s">
        <v>49</v>
      </c>
    </row>
    <row r="4" spans="1:5" x14ac:dyDescent="0.3">
      <c r="A4" s="2" t="s">
        <v>35</v>
      </c>
      <c r="B4" s="4">
        <v>790336.74554621847</v>
      </c>
      <c r="C4" s="4">
        <v>220454.92554621858</v>
      </c>
      <c r="D4" s="3">
        <v>0.2789379676303137</v>
      </c>
      <c r="E4" s="3">
        <v>0.43720835136851349</v>
      </c>
    </row>
    <row r="5" spans="1:5" x14ac:dyDescent="0.3">
      <c r="A5" s="2" t="s">
        <v>31</v>
      </c>
      <c r="B5" s="4">
        <v>705147.53609208402</v>
      </c>
      <c r="C5" s="4">
        <v>177778.33609208406</v>
      </c>
      <c r="D5" s="3">
        <v>0.25211509222215917</v>
      </c>
      <c r="E5" s="3">
        <v>0.40946314255344585</v>
      </c>
    </row>
    <row r="6" spans="1:5" x14ac:dyDescent="0.3">
      <c r="A6" s="2" t="s">
        <v>40</v>
      </c>
      <c r="B6" s="4">
        <v>734433.00717110373</v>
      </c>
      <c r="C6" s="4">
        <v>171867.80717110375</v>
      </c>
      <c r="D6" s="3">
        <v>0.23401427426730975</v>
      </c>
      <c r="E6" s="3">
        <v>0.40031648128609787</v>
      </c>
    </row>
    <row r="7" spans="1:5" x14ac:dyDescent="0.3">
      <c r="A7" s="2" t="s">
        <v>11</v>
      </c>
      <c r="B7" s="4">
        <v>784936.96000000008</v>
      </c>
      <c r="C7" s="4">
        <v>216036.12000000011</v>
      </c>
      <c r="D7" s="3">
        <v>0.27522735074164439</v>
      </c>
      <c r="E7" s="3">
        <v>0.4308278718331725</v>
      </c>
    </row>
    <row r="8" spans="1:5" x14ac:dyDescent="0.3">
      <c r="A8" s="2" t="s">
        <v>41</v>
      </c>
      <c r="B8" s="4">
        <v>791953.85000000009</v>
      </c>
      <c r="C8" s="4">
        <v>225381.88000000012</v>
      </c>
      <c r="D8" s="3">
        <v>0.28458966390528956</v>
      </c>
      <c r="E8" s="3">
        <v>0.43857968491472082</v>
      </c>
    </row>
    <row r="9" spans="1:5" x14ac:dyDescent="0.3">
      <c r="A9" s="2" t="s">
        <v>37</v>
      </c>
      <c r="B9" s="4">
        <v>766866.37999999977</v>
      </c>
      <c r="C9" s="4">
        <v>219147.45999999973</v>
      </c>
      <c r="D9" s="3">
        <v>0.28577007118241354</v>
      </c>
      <c r="E9" s="3">
        <v>0.44175831518393055</v>
      </c>
    </row>
    <row r="10" spans="1:5" x14ac:dyDescent="0.3">
      <c r="A10" s="2" t="s">
        <v>45</v>
      </c>
      <c r="B10" s="4">
        <v>4573674.478809406</v>
      </c>
      <c r="C10" s="4">
        <v>1230666.5288094077</v>
      </c>
      <c r="D10" s="3">
        <v>0.26907610817326205</v>
      </c>
      <c r="E10" s="3">
        <v>0.42691201305556992</v>
      </c>
    </row>
    <row r="12" spans="1:5" x14ac:dyDescent="0.3">
      <c r="A12" s="1" t="s">
        <v>44</v>
      </c>
      <c r="B12" t="s">
        <v>49</v>
      </c>
    </row>
    <row r="13" spans="1:5" x14ac:dyDescent="0.3">
      <c r="A13" s="2" t="s">
        <v>24</v>
      </c>
      <c r="B13" s="3">
        <v>0.64352164550055879</v>
      </c>
      <c r="D13" t="str">
        <f>"Best: " &amp; A22 &amp; " | Worst: " &amp; A25</f>
        <v>Best: France | Worst: Germany</v>
      </c>
    </row>
    <row r="14" spans="1:5" x14ac:dyDescent="0.3">
      <c r="A14" s="2" t="s">
        <v>33</v>
      </c>
      <c r="B14" s="3">
        <v>0.44613841321157383</v>
      </c>
    </row>
    <row r="15" spans="1:5" x14ac:dyDescent="0.3">
      <c r="A15" s="2" t="s">
        <v>18</v>
      </c>
      <c r="B15" s="3">
        <v>0.41249076460279049</v>
      </c>
    </row>
    <row r="16" spans="1:5" x14ac:dyDescent="0.3">
      <c r="A16" s="2" t="s">
        <v>13</v>
      </c>
      <c r="B16" s="3">
        <v>0.34666448506499842</v>
      </c>
    </row>
    <row r="17" spans="1:4" x14ac:dyDescent="0.3">
      <c r="A17" s="2" t="s">
        <v>20</v>
      </c>
      <c r="B17" s="3">
        <v>0.28912569652100473</v>
      </c>
    </row>
    <row r="18" spans="1:4" x14ac:dyDescent="0.3">
      <c r="A18" s="2" t="s">
        <v>45</v>
      </c>
      <c r="B18" s="3">
        <v>0.42691201305556964</v>
      </c>
    </row>
    <row r="21" spans="1:4" x14ac:dyDescent="0.3">
      <c r="A21" s="1" t="s">
        <v>44</v>
      </c>
      <c r="B21" t="s">
        <v>49</v>
      </c>
    </row>
    <row r="22" spans="1:4" x14ac:dyDescent="0.3">
      <c r="A22" s="2" t="s">
        <v>39</v>
      </c>
      <c r="B22" s="3">
        <v>0.43887500852967287</v>
      </c>
    </row>
    <row r="23" spans="1:4" x14ac:dyDescent="0.3">
      <c r="A23" s="2" t="s">
        <v>36</v>
      </c>
      <c r="B23" s="3">
        <v>0.43511394406710452</v>
      </c>
    </row>
    <row r="24" spans="1:4" x14ac:dyDescent="0.3">
      <c r="A24" s="2" t="s">
        <v>43</v>
      </c>
      <c r="B24" s="3">
        <v>0.43325008497632422</v>
      </c>
    </row>
    <row r="25" spans="1:4" x14ac:dyDescent="0.3">
      <c r="A25" s="2" t="s">
        <v>32</v>
      </c>
      <c r="B25" s="3">
        <v>0.40525559839847253</v>
      </c>
    </row>
    <row r="26" spans="1:4" x14ac:dyDescent="0.3">
      <c r="A26" s="2" t="s">
        <v>45</v>
      </c>
      <c r="B26" s="3">
        <v>0.42691201305557058</v>
      </c>
    </row>
    <row r="30" spans="1:4" x14ac:dyDescent="0.3">
      <c r="A30" s="1" t="s">
        <v>44</v>
      </c>
      <c r="B30" t="s">
        <v>47</v>
      </c>
      <c r="C30" t="s">
        <v>48</v>
      </c>
      <c r="D30" t="s">
        <v>49</v>
      </c>
    </row>
    <row r="31" spans="1:4" x14ac:dyDescent="0.3">
      <c r="A31" s="2" t="s">
        <v>35</v>
      </c>
      <c r="B31" s="4">
        <v>790336.74554621847</v>
      </c>
      <c r="C31" s="9">
        <v>220454.92554621858</v>
      </c>
      <c r="D31" s="3">
        <v>0.43720835136851349</v>
      </c>
    </row>
    <row r="32" spans="1:4" x14ac:dyDescent="0.3">
      <c r="A32" s="2" t="s">
        <v>31</v>
      </c>
      <c r="B32" s="4">
        <v>705147.53609208402</v>
      </c>
      <c r="C32" s="9">
        <v>177778.33609208406</v>
      </c>
      <c r="D32" s="3">
        <v>0.40946314255344585</v>
      </c>
    </row>
    <row r="33" spans="1:4" x14ac:dyDescent="0.3">
      <c r="A33" s="2" t="s">
        <v>40</v>
      </c>
      <c r="B33" s="4">
        <v>734433.00717110373</v>
      </c>
      <c r="C33" s="9">
        <v>171867.80717110375</v>
      </c>
      <c r="D33" s="3">
        <v>0.40031648128609787</v>
      </c>
    </row>
    <row r="34" spans="1:4" x14ac:dyDescent="0.3">
      <c r="A34" s="2" t="s">
        <v>11</v>
      </c>
      <c r="B34" s="4">
        <v>784936.96000000008</v>
      </c>
      <c r="C34" s="9">
        <v>216036.12000000011</v>
      </c>
      <c r="D34" s="3">
        <v>0.4308278718331725</v>
      </c>
    </row>
    <row r="35" spans="1:4" x14ac:dyDescent="0.3">
      <c r="A35" s="2" t="s">
        <v>41</v>
      </c>
      <c r="B35" s="4">
        <v>791953.85000000009</v>
      </c>
      <c r="C35" s="9">
        <v>225381.88000000012</v>
      </c>
      <c r="D35" s="3">
        <v>0.43857968491472082</v>
      </c>
    </row>
    <row r="36" spans="1:4" x14ac:dyDescent="0.3">
      <c r="A36" s="2" t="s">
        <v>37</v>
      </c>
      <c r="B36" s="4">
        <v>766866.37999999977</v>
      </c>
      <c r="C36" s="9">
        <v>219147.45999999973</v>
      </c>
      <c r="D36" s="3">
        <v>0.44175831518393055</v>
      </c>
    </row>
    <row r="37" spans="1:4" x14ac:dyDescent="0.3">
      <c r="A37" s="2" t="s">
        <v>45</v>
      </c>
      <c r="B37" s="4">
        <v>4573674.478809406</v>
      </c>
      <c r="C37" s="9">
        <v>1230666.5288094077</v>
      </c>
      <c r="D37" s="3">
        <v>0.42691201305556992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DC15C-9F7D-40F0-B25E-D9DCF1733E64}">
  <dimension ref="A1:I234"/>
  <sheetViews>
    <sheetView topLeftCell="A12" workbookViewId="0">
      <selection activeCell="E18" sqref="E18"/>
    </sheetView>
  </sheetViews>
  <sheetFormatPr defaultRowHeight="14.4" x14ac:dyDescent="0.3"/>
  <cols>
    <col min="1" max="1" width="10.88671875" bestFit="1" customWidth="1"/>
    <col min="2" max="2" width="18.77734375" bestFit="1" customWidth="1"/>
    <col min="3" max="3" width="18.88671875" bestFit="1" customWidth="1"/>
    <col min="4" max="4" width="12.33203125" bestFit="1" customWidth="1"/>
    <col min="5" max="5" width="24" bestFit="1" customWidth="1"/>
    <col min="6" max="6" width="11.21875" bestFit="1" customWidth="1"/>
    <col min="7" max="7" width="9.6640625" bestFit="1" customWidth="1"/>
    <col min="8" max="8" width="24.5546875" bestFit="1" customWidth="1"/>
    <col min="9" max="10" width="24.33203125" bestFit="1" customWidth="1"/>
    <col min="11" max="11" width="17.6640625" bestFit="1" customWidth="1"/>
    <col min="12" max="12" width="24.33203125" bestFit="1" customWidth="1"/>
  </cols>
  <sheetData>
    <row r="1" spans="1:9" x14ac:dyDescent="0.3">
      <c r="A1" t="s">
        <v>0</v>
      </c>
      <c r="B1" t="s">
        <v>1</v>
      </c>
      <c r="C1" t="s">
        <v>2</v>
      </c>
      <c r="D1" t="s">
        <v>4</v>
      </c>
      <c r="E1" t="s">
        <v>29</v>
      </c>
      <c r="F1" t="s">
        <v>6</v>
      </c>
      <c r="G1" t="s">
        <v>7</v>
      </c>
      <c r="H1" t="s">
        <v>46</v>
      </c>
      <c r="I1" t="s">
        <v>42</v>
      </c>
    </row>
    <row r="2" spans="1:9" hidden="1" x14ac:dyDescent="0.3">
      <c r="A2" t="s">
        <v>36</v>
      </c>
      <c r="B2" t="s">
        <v>18</v>
      </c>
      <c r="C2" t="s">
        <v>10</v>
      </c>
      <c r="D2">
        <v>20390.2</v>
      </c>
      <c r="E2">
        <v>5080.55</v>
      </c>
      <c r="F2">
        <v>194</v>
      </c>
      <c r="G2" t="s">
        <v>35</v>
      </c>
      <c r="H2">
        <v>36322.18</v>
      </c>
      <c r="I2">
        <v>5080.55</v>
      </c>
    </row>
    <row r="3" spans="1:9" hidden="1" x14ac:dyDescent="0.3">
      <c r="A3" t="s">
        <v>36</v>
      </c>
      <c r="B3" t="s">
        <v>18</v>
      </c>
      <c r="C3" t="s">
        <v>12</v>
      </c>
      <c r="D3">
        <v>14579.42</v>
      </c>
      <c r="E3">
        <v>4884.6000000000004</v>
      </c>
      <c r="F3">
        <v>168</v>
      </c>
      <c r="G3" t="s">
        <v>35</v>
      </c>
      <c r="H3">
        <v>25040.21</v>
      </c>
      <c r="I3">
        <v>4884.6000000000004</v>
      </c>
    </row>
    <row r="4" spans="1:9" hidden="1" x14ac:dyDescent="0.3">
      <c r="A4" t="s">
        <v>36</v>
      </c>
      <c r="B4" t="s">
        <v>13</v>
      </c>
      <c r="C4" t="s">
        <v>10</v>
      </c>
      <c r="D4">
        <v>19878.060000000001</v>
      </c>
      <c r="E4">
        <v>5608.71</v>
      </c>
      <c r="F4">
        <v>150</v>
      </c>
      <c r="G4" t="s">
        <v>35</v>
      </c>
      <c r="H4">
        <v>30189.07</v>
      </c>
      <c r="I4">
        <v>5608.71</v>
      </c>
    </row>
    <row r="5" spans="1:9" hidden="1" x14ac:dyDescent="0.3">
      <c r="A5" t="s">
        <v>36</v>
      </c>
      <c r="B5" t="s">
        <v>13</v>
      </c>
      <c r="C5" t="s">
        <v>12</v>
      </c>
      <c r="D5">
        <v>10747.04</v>
      </c>
      <c r="E5">
        <v>2112.39</v>
      </c>
      <c r="F5">
        <v>92</v>
      </c>
      <c r="G5" t="s">
        <v>35</v>
      </c>
      <c r="H5">
        <v>16680.64</v>
      </c>
      <c r="I5">
        <v>2112.39</v>
      </c>
    </row>
    <row r="6" spans="1:9" hidden="1" x14ac:dyDescent="0.3">
      <c r="A6" t="s">
        <v>36</v>
      </c>
      <c r="B6" t="s">
        <v>33</v>
      </c>
      <c r="C6" t="s">
        <v>10</v>
      </c>
      <c r="D6">
        <v>13087.02</v>
      </c>
      <c r="E6">
        <v>2937.59</v>
      </c>
      <c r="F6">
        <v>224</v>
      </c>
      <c r="G6" t="s">
        <v>35</v>
      </c>
      <c r="H6">
        <v>24356.23</v>
      </c>
      <c r="I6">
        <v>2937.59</v>
      </c>
    </row>
    <row r="7" spans="1:9" hidden="1" x14ac:dyDescent="0.3">
      <c r="A7" t="s">
        <v>36</v>
      </c>
      <c r="B7" t="s">
        <v>33</v>
      </c>
      <c r="C7" t="s">
        <v>12</v>
      </c>
      <c r="D7">
        <v>8813.17</v>
      </c>
      <c r="E7">
        <v>2595.21</v>
      </c>
      <c r="F7">
        <v>71</v>
      </c>
      <c r="G7" t="s">
        <v>35</v>
      </c>
      <c r="H7">
        <v>15407.28</v>
      </c>
      <c r="I7">
        <v>2595.21</v>
      </c>
    </row>
    <row r="8" spans="1:9" hidden="1" x14ac:dyDescent="0.3">
      <c r="A8" t="s">
        <v>36</v>
      </c>
      <c r="B8" t="s">
        <v>20</v>
      </c>
      <c r="C8" t="s">
        <v>10</v>
      </c>
      <c r="D8">
        <v>11738.81</v>
      </c>
      <c r="E8">
        <v>2731.45</v>
      </c>
      <c r="F8">
        <v>74</v>
      </c>
      <c r="G8" t="s">
        <v>35</v>
      </c>
      <c r="H8">
        <v>16294.2</v>
      </c>
      <c r="I8">
        <v>2731.45</v>
      </c>
    </row>
    <row r="9" spans="1:9" hidden="1" x14ac:dyDescent="0.3">
      <c r="A9" t="s">
        <v>36</v>
      </c>
      <c r="B9" t="s">
        <v>20</v>
      </c>
      <c r="C9" t="s">
        <v>12</v>
      </c>
      <c r="D9">
        <v>6608.64</v>
      </c>
      <c r="E9">
        <v>1565.32</v>
      </c>
      <c r="F9">
        <v>50</v>
      </c>
      <c r="G9" t="s">
        <v>35</v>
      </c>
      <c r="H9">
        <v>9913.48</v>
      </c>
      <c r="I9">
        <v>1565.32</v>
      </c>
    </row>
    <row r="10" spans="1:9" hidden="1" x14ac:dyDescent="0.3">
      <c r="A10" t="s">
        <v>36</v>
      </c>
      <c r="B10" t="s">
        <v>24</v>
      </c>
      <c r="C10" t="s">
        <v>10</v>
      </c>
      <c r="D10">
        <v>7260.32</v>
      </c>
      <c r="E10">
        <v>3085.41</v>
      </c>
      <c r="F10">
        <v>207</v>
      </c>
      <c r="G10" t="s">
        <v>35</v>
      </c>
      <c r="H10">
        <v>20503.099999999999</v>
      </c>
      <c r="I10">
        <v>3085.41</v>
      </c>
    </row>
    <row r="11" spans="1:9" hidden="1" x14ac:dyDescent="0.3">
      <c r="A11" t="s">
        <v>36</v>
      </c>
      <c r="B11" t="s">
        <v>24</v>
      </c>
      <c r="C11" t="s">
        <v>12</v>
      </c>
      <c r="D11">
        <v>5361.98</v>
      </c>
      <c r="E11">
        <v>2348.3200000000002</v>
      </c>
      <c r="F11">
        <v>96</v>
      </c>
      <c r="G11" t="s">
        <v>35</v>
      </c>
      <c r="H11">
        <v>15107.77</v>
      </c>
      <c r="I11">
        <v>2348.3200000000002</v>
      </c>
    </row>
    <row r="12" spans="1:9" x14ac:dyDescent="0.3">
      <c r="A12" t="s">
        <v>32</v>
      </c>
      <c r="B12" t="s">
        <v>18</v>
      </c>
      <c r="C12" t="s">
        <v>10</v>
      </c>
      <c r="D12">
        <v>26459.66</v>
      </c>
      <c r="E12">
        <v>8958.0300000000007</v>
      </c>
      <c r="F12">
        <v>288</v>
      </c>
      <c r="G12" t="s">
        <v>35</v>
      </c>
      <c r="H12">
        <v>47368.336134453784</v>
      </c>
      <c r="I12">
        <v>8958.0300000000007</v>
      </c>
    </row>
    <row r="13" spans="1:9" x14ac:dyDescent="0.3">
      <c r="A13" t="s">
        <v>32</v>
      </c>
      <c r="B13" t="s">
        <v>18</v>
      </c>
      <c r="C13" t="s">
        <v>12</v>
      </c>
      <c r="D13">
        <v>14916.39</v>
      </c>
      <c r="E13">
        <v>3523.92</v>
      </c>
      <c r="F13">
        <v>256</v>
      </c>
      <c r="G13" t="s">
        <v>35</v>
      </c>
      <c r="H13">
        <v>26799.310924369751</v>
      </c>
      <c r="I13">
        <v>3523.92</v>
      </c>
    </row>
    <row r="14" spans="1:9" x14ac:dyDescent="0.3">
      <c r="A14" t="s">
        <v>32</v>
      </c>
      <c r="B14" t="s">
        <v>13</v>
      </c>
      <c r="C14" t="s">
        <v>10</v>
      </c>
      <c r="D14">
        <v>21801.88</v>
      </c>
      <c r="E14">
        <v>5548.48</v>
      </c>
      <c r="F14">
        <v>307</v>
      </c>
      <c r="G14" t="s">
        <v>35</v>
      </c>
      <c r="H14">
        <v>34693.016806722691</v>
      </c>
      <c r="I14">
        <v>5548.48</v>
      </c>
    </row>
    <row r="15" spans="1:9" x14ac:dyDescent="0.3">
      <c r="A15" t="s">
        <v>32</v>
      </c>
      <c r="B15" t="s">
        <v>13</v>
      </c>
      <c r="C15" t="s">
        <v>12</v>
      </c>
      <c r="D15">
        <v>12762.91</v>
      </c>
      <c r="E15">
        <v>3136.76</v>
      </c>
      <c r="F15">
        <v>240</v>
      </c>
      <c r="G15" t="s">
        <v>35</v>
      </c>
      <c r="H15">
        <v>19592.663865546219</v>
      </c>
      <c r="I15">
        <v>3136.76</v>
      </c>
    </row>
    <row r="16" spans="1:9" x14ac:dyDescent="0.3">
      <c r="A16" t="s">
        <v>32</v>
      </c>
      <c r="B16" t="s">
        <v>33</v>
      </c>
      <c r="C16" t="s">
        <v>10</v>
      </c>
      <c r="D16">
        <v>15620.16</v>
      </c>
      <c r="E16">
        <v>4180.7299999999996</v>
      </c>
      <c r="F16">
        <v>199</v>
      </c>
      <c r="G16" t="s">
        <v>35</v>
      </c>
      <c r="H16">
        <v>27513.352941176472</v>
      </c>
      <c r="I16">
        <v>4180.7299999999996</v>
      </c>
    </row>
    <row r="17" spans="1:9" x14ac:dyDescent="0.3">
      <c r="A17" t="s">
        <v>32</v>
      </c>
      <c r="B17" t="s">
        <v>33</v>
      </c>
      <c r="C17" t="s">
        <v>12</v>
      </c>
      <c r="D17">
        <v>10824.59</v>
      </c>
      <c r="E17">
        <v>3356</v>
      </c>
      <c r="F17">
        <v>139</v>
      </c>
      <c r="G17" t="s">
        <v>35</v>
      </c>
      <c r="H17">
        <v>18882.285714285714</v>
      </c>
      <c r="I17">
        <v>3356</v>
      </c>
    </row>
    <row r="18" spans="1:9" x14ac:dyDescent="0.3">
      <c r="A18" t="s">
        <v>32</v>
      </c>
      <c r="B18" t="s">
        <v>20</v>
      </c>
      <c r="C18" t="s">
        <v>10</v>
      </c>
      <c r="D18">
        <v>13361.72</v>
      </c>
      <c r="E18">
        <v>2399.29</v>
      </c>
      <c r="F18">
        <v>105</v>
      </c>
      <c r="G18" t="s">
        <v>35</v>
      </c>
      <c r="H18">
        <v>18677.336134453781</v>
      </c>
      <c r="I18">
        <v>2399.29</v>
      </c>
    </row>
    <row r="19" spans="1:9" x14ac:dyDescent="0.3">
      <c r="A19" t="s">
        <v>32</v>
      </c>
      <c r="B19" t="s">
        <v>20</v>
      </c>
      <c r="C19" t="s">
        <v>12</v>
      </c>
      <c r="D19">
        <v>9201.4500000000007</v>
      </c>
      <c r="E19">
        <v>1939.69</v>
      </c>
      <c r="F19">
        <v>91</v>
      </c>
      <c r="G19" t="s">
        <v>35</v>
      </c>
      <c r="H19">
        <v>12872.521008403361</v>
      </c>
      <c r="I19">
        <v>1939.69</v>
      </c>
    </row>
    <row r="20" spans="1:9" x14ac:dyDescent="0.3">
      <c r="A20" t="s">
        <v>32</v>
      </c>
      <c r="B20" t="s">
        <v>24</v>
      </c>
      <c r="C20" t="s">
        <v>10</v>
      </c>
      <c r="D20">
        <v>9313.6299999999992</v>
      </c>
      <c r="E20">
        <v>4370.93</v>
      </c>
      <c r="F20">
        <v>131</v>
      </c>
      <c r="G20" t="s">
        <v>35</v>
      </c>
      <c r="H20">
        <v>27275.319327731093</v>
      </c>
      <c r="I20">
        <v>4370.93</v>
      </c>
    </row>
    <row r="21" spans="1:9" x14ac:dyDescent="0.3">
      <c r="A21" t="s">
        <v>32</v>
      </c>
      <c r="B21" t="s">
        <v>24</v>
      </c>
      <c r="C21" t="s">
        <v>12</v>
      </c>
      <c r="D21">
        <v>5732.55</v>
      </c>
      <c r="E21">
        <v>2207.11</v>
      </c>
      <c r="F21">
        <v>77</v>
      </c>
      <c r="G21" t="s">
        <v>35</v>
      </c>
      <c r="H21">
        <v>15703.722689075632</v>
      </c>
      <c r="I21">
        <v>2207.11</v>
      </c>
    </row>
    <row r="22" spans="1:9" hidden="1" x14ac:dyDescent="0.3">
      <c r="A22" t="s">
        <v>43</v>
      </c>
      <c r="B22" t="s">
        <v>18</v>
      </c>
      <c r="C22" t="s">
        <v>10</v>
      </c>
      <c r="D22">
        <v>15177.35</v>
      </c>
      <c r="E22">
        <v>4328.01</v>
      </c>
      <c r="F22">
        <v>117</v>
      </c>
      <c r="G22" t="s">
        <v>35</v>
      </c>
      <c r="H22">
        <v>25709.599999999999</v>
      </c>
      <c r="I22">
        <v>4328.01</v>
      </c>
    </row>
    <row r="23" spans="1:9" hidden="1" x14ac:dyDescent="0.3">
      <c r="A23" t="s">
        <v>43</v>
      </c>
      <c r="B23" t="s">
        <v>18</v>
      </c>
      <c r="C23" t="s">
        <v>12</v>
      </c>
      <c r="D23">
        <v>9878.2900000000009</v>
      </c>
      <c r="E23">
        <v>2420.58</v>
      </c>
      <c r="F23">
        <v>94</v>
      </c>
      <c r="G23" t="s">
        <v>35</v>
      </c>
      <c r="H23">
        <v>16396.21</v>
      </c>
      <c r="I23">
        <v>2420.58</v>
      </c>
    </row>
    <row r="24" spans="1:9" hidden="1" x14ac:dyDescent="0.3">
      <c r="A24" t="s">
        <v>43</v>
      </c>
      <c r="B24" t="s">
        <v>13</v>
      </c>
      <c r="C24" t="s">
        <v>10</v>
      </c>
      <c r="D24">
        <v>13921.15</v>
      </c>
      <c r="E24">
        <v>3918.29</v>
      </c>
      <c r="F24">
        <v>183</v>
      </c>
      <c r="G24" t="s">
        <v>35</v>
      </c>
      <c r="H24">
        <v>21392.79</v>
      </c>
      <c r="I24">
        <v>3918.29</v>
      </c>
    </row>
    <row r="25" spans="1:9" hidden="1" x14ac:dyDescent="0.3">
      <c r="A25" t="s">
        <v>43</v>
      </c>
      <c r="B25" t="s">
        <v>33</v>
      </c>
      <c r="C25" t="s">
        <v>10</v>
      </c>
      <c r="D25">
        <v>8393.9500000000007</v>
      </c>
      <c r="E25">
        <v>2703.47</v>
      </c>
      <c r="F25">
        <v>84</v>
      </c>
      <c r="G25" t="s">
        <v>35</v>
      </c>
      <c r="H25">
        <v>15556.47</v>
      </c>
      <c r="I25">
        <v>2703.47</v>
      </c>
    </row>
    <row r="26" spans="1:9" hidden="1" x14ac:dyDescent="0.3">
      <c r="A26" t="s">
        <v>43</v>
      </c>
      <c r="B26" t="s">
        <v>33</v>
      </c>
      <c r="C26" t="s">
        <v>12</v>
      </c>
      <c r="D26">
        <v>5700.51</v>
      </c>
      <c r="E26">
        <v>1921.06</v>
      </c>
      <c r="F26">
        <v>58</v>
      </c>
      <c r="G26" t="s">
        <v>35</v>
      </c>
      <c r="H26">
        <v>10679.29</v>
      </c>
      <c r="I26">
        <v>1921.06</v>
      </c>
    </row>
    <row r="27" spans="1:9" hidden="1" x14ac:dyDescent="0.3">
      <c r="A27" t="s">
        <v>43</v>
      </c>
      <c r="B27" t="s">
        <v>20</v>
      </c>
      <c r="C27" t="s">
        <v>10</v>
      </c>
      <c r="D27">
        <v>9264.43</v>
      </c>
      <c r="E27">
        <v>2158.41</v>
      </c>
      <c r="F27">
        <v>106</v>
      </c>
      <c r="G27" t="s">
        <v>35</v>
      </c>
      <c r="H27">
        <v>12811.44</v>
      </c>
      <c r="I27">
        <v>2158.41</v>
      </c>
    </row>
    <row r="28" spans="1:9" hidden="1" x14ac:dyDescent="0.3">
      <c r="A28" t="s">
        <v>43</v>
      </c>
      <c r="B28" t="s">
        <v>20</v>
      </c>
      <c r="C28" t="s">
        <v>12</v>
      </c>
      <c r="D28">
        <v>5406.35</v>
      </c>
      <c r="E28">
        <v>988.51</v>
      </c>
      <c r="F28">
        <v>91</v>
      </c>
      <c r="G28" t="s">
        <v>35</v>
      </c>
      <c r="H28">
        <v>8065.69</v>
      </c>
      <c r="I28">
        <v>988.51</v>
      </c>
    </row>
    <row r="29" spans="1:9" hidden="1" x14ac:dyDescent="0.3">
      <c r="A29" t="s">
        <v>43</v>
      </c>
      <c r="B29" t="s">
        <v>24</v>
      </c>
      <c r="C29" t="s">
        <v>10</v>
      </c>
      <c r="D29">
        <v>5909.58</v>
      </c>
      <c r="E29">
        <v>2403.6999999999998</v>
      </c>
      <c r="F29">
        <v>90</v>
      </c>
      <c r="G29" t="s">
        <v>35</v>
      </c>
      <c r="H29">
        <v>16737.22</v>
      </c>
      <c r="I29">
        <v>2403.6999999999998</v>
      </c>
    </row>
    <row r="30" spans="1:9" hidden="1" x14ac:dyDescent="0.3">
      <c r="A30" t="s">
        <v>43</v>
      </c>
      <c r="B30" t="s">
        <v>24</v>
      </c>
      <c r="C30" t="s">
        <v>12</v>
      </c>
      <c r="D30">
        <v>3183.87</v>
      </c>
      <c r="E30">
        <v>1475.33</v>
      </c>
      <c r="F30">
        <v>95</v>
      </c>
      <c r="G30" t="s">
        <v>35</v>
      </c>
      <c r="H30">
        <v>9405.02</v>
      </c>
      <c r="I30">
        <v>1475.33</v>
      </c>
    </row>
    <row r="31" spans="1:9" hidden="1" x14ac:dyDescent="0.3">
      <c r="A31" t="s">
        <v>39</v>
      </c>
      <c r="B31" t="s">
        <v>18</v>
      </c>
      <c r="C31" t="s">
        <v>10</v>
      </c>
      <c r="D31">
        <v>20132.04</v>
      </c>
      <c r="E31">
        <v>6112.98</v>
      </c>
      <c r="F31">
        <v>264</v>
      </c>
      <c r="G31" t="s">
        <v>35</v>
      </c>
      <c r="H31">
        <v>34496.94</v>
      </c>
      <c r="I31">
        <v>6112.98</v>
      </c>
    </row>
    <row r="32" spans="1:9" hidden="1" x14ac:dyDescent="0.3">
      <c r="A32" t="s">
        <v>39</v>
      </c>
      <c r="B32" t="s">
        <v>18</v>
      </c>
      <c r="C32" t="s">
        <v>12</v>
      </c>
      <c r="D32">
        <v>13942.82</v>
      </c>
      <c r="E32">
        <v>3174.52</v>
      </c>
      <c r="F32">
        <v>113</v>
      </c>
      <c r="G32" t="s">
        <v>35</v>
      </c>
      <c r="H32">
        <v>23568.57</v>
      </c>
      <c r="I32">
        <v>3174.52</v>
      </c>
    </row>
    <row r="33" spans="1:9" hidden="1" x14ac:dyDescent="0.3">
      <c r="A33" t="s">
        <v>39</v>
      </c>
      <c r="B33" t="s">
        <v>13</v>
      </c>
      <c r="C33" t="s">
        <v>10</v>
      </c>
      <c r="D33">
        <v>17920.59</v>
      </c>
      <c r="E33">
        <v>3748.63</v>
      </c>
      <c r="F33">
        <v>310</v>
      </c>
      <c r="G33" t="s">
        <v>35</v>
      </c>
      <c r="H33">
        <v>28067.3</v>
      </c>
      <c r="I33">
        <v>3748.63</v>
      </c>
    </row>
    <row r="34" spans="1:9" hidden="1" x14ac:dyDescent="0.3">
      <c r="A34" t="s">
        <v>39</v>
      </c>
      <c r="B34" t="s">
        <v>13</v>
      </c>
      <c r="C34" t="s">
        <v>12</v>
      </c>
      <c r="D34">
        <v>9246.36</v>
      </c>
      <c r="E34">
        <v>2344.7199999999998</v>
      </c>
      <c r="F34">
        <v>115</v>
      </c>
      <c r="G34" t="s">
        <v>35</v>
      </c>
      <c r="H34">
        <v>14697.67</v>
      </c>
      <c r="I34">
        <v>2344.7199999999998</v>
      </c>
    </row>
    <row r="35" spans="1:9" hidden="1" x14ac:dyDescent="0.3">
      <c r="A35" t="s">
        <v>39</v>
      </c>
      <c r="B35" t="s">
        <v>33</v>
      </c>
      <c r="C35" t="s">
        <v>10</v>
      </c>
      <c r="D35">
        <v>11332.18</v>
      </c>
      <c r="E35">
        <v>3152.26</v>
      </c>
      <c r="F35">
        <v>185</v>
      </c>
      <c r="G35" t="s">
        <v>35</v>
      </c>
      <c r="H35">
        <v>21661</v>
      </c>
      <c r="I35">
        <v>3152.26</v>
      </c>
    </row>
    <row r="36" spans="1:9" hidden="1" x14ac:dyDescent="0.3">
      <c r="A36" t="s">
        <v>39</v>
      </c>
      <c r="B36" t="s">
        <v>33</v>
      </c>
      <c r="C36" t="s">
        <v>12</v>
      </c>
      <c r="D36">
        <v>7290.72</v>
      </c>
      <c r="E36">
        <v>2233.9899999999998</v>
      </c>
      <c r="F36">
        <v>88</v>
      </c>
      <c r="G36" t="s">
        <v>35</v>
      </c>
      <c r="H36">
        <v>13883.74</v>
      </c>
      <c r="I36">
        <v>2233.9899999999998</v>
      </c>
    </row>
    <row r="37" spans="1:9" hidden="1" x14ac:dyDescent="0.3">
      <c r="A37" t="s">
        <v>39</v>
      </c>
      <c r="B37" t="s">
        <v>20</v>
      </c>
      <c r="C37" t="s">
        <v>10</v>
      </c>
      <c r="D37">
        <v>11513.39</v>
      </c>
      <c r="E37">
        <v>3058.59</v>
      </c>
      <c r="F37">
        <v>172</v>
      </c>
      <c r="G37" t="s">
        <v>35</v>
      </c>
      <c r="H37">
        <v>16584.16</v>
      </c>
      <c r="I37">
        <v>3058.59</v>
      </c>
    </row>
    <row r="38" spans="1:9" hidden="1" x14ac:dyDescent="0.3">
      <c r="A38" t="s">
        <v>39</v>
      </c>
      <c r="B38" t="s">
        <v>20</v>
      </c>
      <c r="C38" t="s">
        <v>12</v>
      </c>
      <c r="D38">
        <v>6834.77</v>
      </c>
      <c r="E38">
        <v>1318.65</v>
      </c>
      <c r="F38">
        <v>61</v>
      </c>
      <c r="G38" t="s">
        <v>35</v>
      </c>
      <c r="H38">
        <v>9706.01</v>
      </c>
      <c r="I38">
        <v>1318.65</v>
      </c>
    </row>
    <row r="39" spans="1:9" hidden="1" x14ac:dyDescent="0.3">
      <c r="A39" t="s">
        <v>39</v>
      </c>
      <c r="B39" t="s">
        <v>24</v>
      </c>
      <c r="C39" t="s">
        <v>10</v>
      </c>
      <c r="D39">
        <v>6580.36</v>
      </c>
      <c r="E39">
        <v>3287.73</v>
      </c>
      <c r="F39">
        <v>94</v>
      </c>
      <c r="G39" t="s">
        <v>35</v>
      </c>
      <c r="H39">
        <v>18472.46</v>
      </c>
      <c r="I39">
        <v>3287.73</v>
      </c>
    </row>
    <row r="40" spans="1:9" hidden="1" x14ac:dyDescent="0.3">
      <c r="A40" t="s">
        <v>39</v>
      </c>
      <c r="B40" t="s">
        <v>24</v>
      </c>
      <c r="C40" t="s">
        <v>12</v>
      </c>
      <c r="D40">
        <v>4706.6099999999997</v>
      </c>
      <c r="E40">
        <v>1766.98</v>
      </c>
      <c r="F40">
        <v>65</v>
      </c>
      <c r="G40" t="s">
        <v>35</v>
      </c>
      <c r="H40">
        <v>13253.14</v>
      </c>
      <c r="I40">
        <v>1766.98</v>
      </c>
    </row>
    <row r="41" spans="1:9" hidden="1" x14ac:dyDescent="0.3">
      <c r="A41" t="s">
        <v>36</v>
      </c>
      <c r="B41" t="s">
        <v>18</v>
      </c>
      <c r="C41" t="s">
        <v>10</v>
      </c>
      <c r="D41">
        <v>20724.3</v>
      </c>
      <c r="E41">
        <v>5513.09</v>
      </c>
      <c r="F41">
        <v>223</v>
      </c>
      <c r="G41" t="s">
        <v>31</v>
      </c>
      <c r="H41">
        <v>37404.230000000003</v>
      </c>
      <c r="I41">
        <v>5513.09</v>
      </c>
    </row>
    <row r="42" spans="1:9" hidden="1" x14ac:dyDescent="0.3">
      <c r="A42" t="s">
        <v>36</v>
      </c>
      <c r="B42" t="s">
        <v>13</v>
      </c>
      <c r="C42" t="s">
        <v>10</v>
      </c>
      <c r="D42">
        <v>19869.84</v>
      </c>
      <c r="E42">
        <v>6014.13</v>
      </c>
      <c r="F42">
        <v>189</v>
      </c>
      <c r="G42" t="s">
        <v>31</v>
      </c>
      <c r="H42">
        <v>30192.87</v>
      </c>
      <c r="I42">
        <v>6014.13</v>
      </c>
    </row>
    <row r="43" spans="1:9" hidden="1" x14ac:dyDescent="0.3">
      <c r="A43" t="s">
        <v>36</v>
      </c>
      <c r="B43" t="s">
        <v>13</v>
      </c>
      <c r="C43" t="s">
        <v>12</v>
      </c>
      <c r="D43">
        <v>12761.51</v>
      </c>
      <c r="E43">
        <v>2554.15</v>
      </c>
      <c r="F43">
        <v>93</v>
      </c>
      <c r="G43" t="s">
        <v>31</v>
      </c>
      <c r="H43">
        <v>19216.490000000002</v>
      </c>
      <c r="I43">
        <v>2554.15</v>
      </c>
    </row>
    <row r="44" spans="1:9" hidden="1" x14ac:dyDescent="0.3">
      <c r="A44" t="s">
        <v>36</v>
      </c>
      <c r="B44" t="s">
        <v>33</v>
      </c>
      <c r="C44" t="s">
        <v>10</v>
      </c>
      <c r="D44">
        <v>12554.49</v>
      </c>
      <c r="E44">
        <v>3628.12</v>
      </c>
      <c r="F44">
        <v>195</v>
      </c>
      <c r="G44" t="s">
        <v>31</v>
      </c>
      <c r="H44">
        <v>23912.95</v>
      </c>
      <c r="I44">
        <v>3628.12</v>
      </c>
    </row>
    <row r="45" spans="1:9" hidden="1" x14ac:dyDescent="0.3">
      <c r="A45" t="s">
        <v>36</v>
      </c>
      <c r="B45" t="s">
        <v>33</v>
      </c>
      <c r="C45" t="s">
        <v>12</v>
      </c>
      <c r="D45">
        <v>9473.91</v>
      </c>
      <c r="E45">
        <v>2400.23</v>
      </c>
      <c r="F45">
        <v>171</v>
      </c>
      <c r="G45" t="s">
        <v>31</v>
      </c>
      <c r="H45">
        <v>16707.87</v>
      </c>
      <c r="I45">
        <v>2400.23</v>
      </c>
    </row>
    <row r="46" spans="1:9" hidden="1" x14ac:dyDescent="0.3">
      <c r="A46" t="s">
        <v>36</v>
      </c>
      <c r="B46" t="s">
        <v>20</v>
      </c>
      <c r="C46" t="s">
        <v>10</v>
      </c>
      <c r="D46">
        <v>11623.13</v>
      </c>
      <c r="E46">
        <v>3060.91</v>
      </c>
      <c r="F46">
        <v>94</v>
      </c>
      <c r="G46" t="s">
        <v>31</v>
      </c>
      <c r="H46">
        <v>16305.19</v>
      </c>
      <c r="I46">
        <v>3060.91</v>
      </c>
    </row>
    <row r="47" spans="1:9" hidden="1" x14ac:dyDescent="0.3">
      <c r="A47" t="s">
        <v>36</v>
      </c>
      <c r="B47" t="s">
        <v>20</v>
      </c>
      <c r="C47" t="s">
        <v>12</v>
      </c>
      <c r="D47">
        <v>7287.79</v>
      </c>
      <c r="E47">
        <v>1471.85</v>
      </c>
      <c r="F47">
        <v>105</v>
      </c>
      <c r="G47" t="s">
        <v>31</v>
      </c>
      <c r="H47">
        <v>10655.49</v>
      </c>
      <c r="I47">
        <v>1471.85</v>
      </c>
    </row>
    <row r="48" spans="1:9" hidden="1" x14ac:dyDescent="0.3">
      <c r="A48" t="s">
        <v>36</v>
      </c>
      <c r="B48" t="s">
        <v>24</v>
      </c>
      <c r="C48" t="s">
        <v>10</v>
      </c>
      <c r="D48">
        <v>8031.81</v>
      </c>
      <c r="E48">
        <v>4100.6899999999996</v>
      </c>
      <c r="F48">
        <v>122</v>
      </c>
      <c r="G48" t="s">
        <v>31</v>
      </c>
      <c r="H48">
        <v>23135.200000000001</v>
      </c>
      <c r="I48">
        <v>4100.6899999999996</v>
      </c>
    </row>
    <row r="49" spans="1:9" hidden="1" x14ac:dyDescent="0.3">
      <c r="A49" t="s">
        <v>36</v>
      </c>
      <c r="B49" t="s">
        <v>24</v>
      </c>
      <c r="C49" t="s">
        <v>12</v>
      </c>
      <c r="D49">
        <v>4286.1000000000004</v>
      </c>
      <c r="F49">
        <v>63</v>
      </c>
      <c r="G49" t="s">
        <v>31</v>
      </c>
      <c r="H49">
        <v>12570.62</v>
      </c>
    </row>
    <row r="50" spans="1:9" x14ac:dyDescent="0.3">
      <c r="A50" t="s">
        <v>32</v>
      </c>
      <c r="B50" t="s">
        <v>18</v>
      </c>
      <c r="C50" t="s">
        <v>10</v>
      </c>
      <c r="D50">
        <v>24532.53</v>
      </c>
      <c r="E50">
        <v>6892.5</v>
      </c>
      <c r="F50">
        <v>456</v>
      </c>
      <c r="G50" t="s">
        <v>31</v>
      </c>
      <c r="H50">
        <v>34002.53513169974</v>
      </c>
      <c r="I50">
        <v>6892.5</v>
      </c>
    </row>
    <row r="51" spans="1:9" x14ac:dyDescent="0.3">
      <c r="A51" t="s">
        <v>32</v>
      </c>
      <c r="B51" t="s">
        <v>18</v>
      </c>
      <c r="C51" t="s">
        <v>12</v>
      </c>
      <c r="D51">
        <v>16085.27</v>
      </c>
      <c r="E51">
        <v>5593.68</v>
      </c>
      <c r="F51">
        <v>338</v>
      </c>
      <c r="G51" t="s">
        <v>31</v>
      </c>
      <c r="H51">
        <v>24153.386060306479</v>
      </c>
      <c r="I51">
        <v>5593.68</v>
      </c>
    </row>
    <row r="52" spans="1:9" x14ac:dyDescent="0.3">
      <c r="A52" t="s">
        <v>32</v>
      </c>
      <c r="B52" t="s">
        <v>13</v>
      </c>
      <c r="C52" t="s">
        <v>10</v>
      </c>
      <c r="D52">
        <v>19042.25</v>
      </c>
      <c r="E52">
        <v>4344.5200000000004</v>
      </c>
      <c r="F52">
        <v>299</v>
      </c>
      <c r="G52" t="s">
        <v>31</v>
      </c>
      <c r="H52">
        <v>24784.28077113198</v>
      </c>
      <c r="I52">
        <v>4344.5200000000004</v>
      </c>
    </row>
    <row r="53" spans="1:9" x14ac:dyDescent="0.3">
      <c r="A53" t="s">
        <v>32</v>
      </c>
      <c r="B53" t="s">
        <v>13</v>
      </c>
      <c r="C53" t="s">
        <v>12</v>
      </c>
      <c r="D53">
        <v>12556.11</v>
      </c>
      <c r="E53">
        <v>3342.8</v>
      </c>
      <c r="F53">
        <v>184</v>
      </c>
      <c r="G53" t="s">
        <v>31</v>
      </c>
      <c r="H53">
        <v>16939.418120189253</v>
      </c>
      <c r="I53">
        <v>3342.8</v>
      </c>
    </row>
    <row r="54" spans="1:9" x14ac:dyDescent="0.3">
      <c r="A54" t="s">
        <v>32</v>
      </c>
      <c r="B54" t="s">
        <v>33</v>
      </c>
      <c r="C54" t="s">
        <v>10</v>
      </c>
      <c r="D54">
        <v>16153.68</v>
      </c>
      <c r="E54">
        <v>4798.1099999999997</v>
      </c>
      <c r="F54">
        <v>147</v>
      </c>
      <c r="G54" t="s">
        <v>31</v>
      </c>
      <c r="H54">
        <v>25513.763152319752</v>
      </c>
      <c r="I54">
        <v>4798.1099999999997</v>
      </c>
    </row>
    <row r="55" spans="1:9" x14ac:dyDescent="0.3">
      <c r="A55" t="s">
        <v>32</v>
      </c>
      <c r="B55" t="s">
        <v>33</v>
      </c>
      <c r="C55" t="s">
        <v>12</v>
      </c>
      <c r="D55">
        <v>9025.5300000000007</v>
      </c>
      <c r="E55">
        <v>3015.65</v>
      </c>
      <c r="F55">
        <v>78</v>
      </c>
      <c r="G55" t="s">
        <v>31</v>
      </c>
      <c r="H55">
        <v>13768.17315161359</v>
      </c>
      <c r="I55">
        <v>3015.65</v>
      </c>
    </row>
    <row r="56" spans="1:9" x14ac:dyDescent="0.3">
      <c r="A56" t="s">
        <v>32</v>
      </c>
      <c r="B56" t="s">
        <v>20</v>
      </c>
      <c r="C56" t="s">
        <v>10</v>
      </c>
      <c r="D56">
        <v>14159.81</v>
      </c>
      <c r="E56">
        <v>3051.59</v>
      </c>
      <c r="F56">
        <v>129</v>
      </c>
      <c r="G56" t="s">
        <v>31</v>
      </c>
      <c r="H56">
        <v>16686.371018995833</v>
      </c>
      <c r="I56">
        <v>3051.59</v>
      </c>
    </row>
    <row r="57" spans="1:9" x14ac:dyDescent="0.3">
      <c r="A57" t="s">
        <v>32</v>
      </c>
      <c r="B57" t="s">
        <v>20</v>
      </c>
      <c r="C57" t="s">
        <v>12</v>
      </c>
      <c r="D57">
        <v>8955.85</v>
      </c>
      <c r="E57">
        <v>1757.97</v>
      </c>
      <c r="F57">
        <v>68</v>
      </c>
      <c r="G57" t="s">
        <v>31</v>
      </c>
      <c r="H57">
        <v>10932.589506390792</v>
      </c>
      <c r="I57">
        <v>1757.97</v>
      </c>
    </row>
    <row r="58" spans="1:9" x14ac:dyDescent="0.3">
      <c r="A58" t="s">
        <v>32</v>
      </c>
      <c r="B58" t="s">
        <v>24</v>
      </c>
      <c r="C58" t="s">
        <v>10</v>
      </c>
      <c r="D58">
        <v>8770.83</v>
      </c>
      <c r="E58">
        <v>4159.5200000000004</v>
      </c>
      <c r="F58">
        <v>226</v>
      </c>
      <c r="G58" t="s">
        <v>31</v>
      </c>
      <c r="H58">
        <v>20199.52686957136</v>
      </c>
      <c r="I58">
        <v>4159.5200000000004</v>
      </c>
    </row>
    <row r="59" spans="1:9" x14ac:dyDescent="0.3">
      <c r="A59" t="s">
        <v>32</v>
      </c>
      <c r="B59" t="s">
        <v>24</v>
      </c>
      <c r="C59" t="s">
        <v>12</v>
      </c>
      <c r="D59">
        <v>4940</v>
      </c>
      <c r="E59">
        <v>1909.51</v>
      </c>
      <c r="F59">
        <v>107</v>
      </c>
      <c r="G59" t="s">
        <v>31</v>
      </c>
      <c r="H59">
        <v>11824.892309865123</v>
      </c>
      <c r="I59">
        <v>1909.51</v>
      </c>
    </row>
    <row r="60" spans="1:9" hidden="1" x14ac:dyDescent="0.3">
      <c r="A60" t="s">
        <v>43</v>
      </c>
      <c r="B60" t="s">
        <v>18</v>
      </c>
      <c r="C60" t="s">
        <v>10</v>
      </c>
      <c r="D60">
        <v>15213.05</v>
      </c>
      <c r="E60">
        <v>3366.14</v>
      </c>
      <c r="F60">
        <v>126</v>
      </c>
      <c r="G60" t="s">
        <v>31</v>
      </c>
      <c r="H60">
        <v>27045.88</v>
      </c>
      <c r="I60">
        <v>3366.14</v>
      </c>
    </row>
    <row r="61" spans="1:9" hidden="1" x14ac:dyDescent="0.3">
      <c r="A61" t="s">
        <v>43</v>
      </c>
      <c r="B61" t="s">
        <v>18</v>
      </c>
      <c r="C61" t="s">
        <v>12</v>
      </c>
      <c r="D61">
        <v>9244.4599999999991</v>
      </c>
      <c r="E61">
        <v>1868.2</v>
      </c>
      <c r="F61">
        <v>72</v>
      </c>
      <c r="G61" t="s">
        <v>31</v>
      </c>
      <c r="H61">
        <v>15383.15</v>
      </c>
      <c r="I61">
        <v>1868.2</v>
      </c>
    </row>
    <row r="62" spans="1:9" hidden="1" x14ac:dyDescent="0.3">
      <c r="A62" t="s">
        <v>43</v>
      </c>
      <c r="B62" t="s">
        <v>13</v>
      </c>
      <c r="C62" t="s">
        <v>10</v>
      </c>
      <c r="D62">
        <v>12766.62</v>
      </c>
      <c r="E62">
        <v>2808.91</v>
      </c>
      <c r="F62">
        <v>188</v>
      </c>
      <c r="G62" t="s">
        <v>31</v>
      </c>
      <c r="H62">
        <v>20950.240000000002</v>
      </c>
      <c r="I62">
        <v>2808.91</v>
      </c>
    </row>
    <row r="63" spans="1:9" hidden="1" x14ac:dyDescent="0.3">
      <c r="A63" t="s">
        <v>43</v>
      </c>
      <c r="B63" t="s">
        <v>13</v>
      </c>
      <c r="C63" t="s">
        <v>12</v>
      </c>
      <c r="D63">
        <v>6892.06</v>
      </c>
      <c r="E63">
        <v>1463.51</v>
      </c>
      <c r="F63">
        <v>80</v>
      </c>
      <c r="G63" t="s">
        <v>31</v>
      </c>
      <c r="H63">
        <v>11334.74</v>
      </c>
      <c r="I63">
        <v>1463.51</v>
      </c>
    </row>
    <row r="64" spans="1:9" hidden="1" x14ac:dyDescent="0.3">
      <c r="A64" t="s">
        <v>43</v>
      </c>
      <c r="B64" t="s">
        <v>33</v>
      </c>
      <c r="C64" t="s">
        <v>10</v>
      </c>
      <c r="D64">
        <v>9554.0400000000009</v>
      </c>
      <c r="E64">
        <v>2591.6999999999998</v>
      </c>
      <c r="F64">
        <v>109</v>
      </c>
      <c r="G64" t="s">
        <v>31</v>
      </c>
      <c r="H64">
        <v>17270.22</v>
      </c>
      <c r="I64">
        <v>2591.6999999999998</v>
      </c>
    </row>
    <row r="65" spans="1:9" hidden="1" x14ac:dyDescent="0.3">
      <c r="A65" t="s">
        <v>43</v>
      </c>
      <c r="B65" t="s">
        <v>33</v>
      </c>
      <c r="C65" t="s">
        <v>12</v>
      </c>
      <c r="D65">
        <v>5535.09</v>
      </c>
      <c r="E65">
        <v>1700.48</v>
      </c>
      <c r="F65">
        <v>117</v>
      </c>
      <c r="G65" t="s">
        <v>31</v>
      </c>
      <c r="H65">
        <v>10464.92</v>
      </c>
      <c r="I65">
        <v>1700.48</v>
      </c>
    </row>
    <row r="66" spans="1:9" hidden="1" x14ac:dyDescent="0.3">
      <c r="A66" t="s">
        <v>43</v>
      </c>
      <c r="B66" t="s">
        <v>20</v>
      </c>
      <c r="C66" t="s">
        <v>10</v>
      </c>
      <c r="D66">
        <v>8130.08</v>
      </c>
      <c r="E66">
        <v>1899.57</v>
      </c>
      <c r="F66">
        <v>98</v>
      </c>
      <c r="G66" t="s">
        <v>31</v>
      </c>
      <c r="H66">
        <v>11193.2</v>
      </c>
      <c r="I66">
        <v>1899.57</v>
      </c>
    </row>
    <row r="67" spans="1:9" hidden="1" x14ac:dyDescent="0.3">
      <c r="A67" t="s">
        <v>43</v>
      </c>
      <c r="B67" t="s">
        <v>20</v>
      </c>
      <c r="C67" t="s">
        <v>12</v>
      </c>
      <c r="D67">
        <v>4923.0600000000004</v>
      </c>
      <c r="E67">
        <v>866.52</v>
      </c>
      <c r="F67">
        <v>51</v>
      </c>
      <c r="G67" t="s">
        <v>31</v>
      </c>
      <c r="H67">
        <v>6865.62</v>
      </c>
      <c r="I67">
        <v>866.52</v>
      </c>
    </row>
    <row r="68" spans="1:9" hidden="1" x14ac:dyDescent="0.3">
      <c r="A68" t="s">
        <v>43</v>
      </c>
      <c r="B68" t="s">
        <v>24</v>
      </c>
      <c r="C68" t="s">
        <v>10</v>
      </c>
      <c r="D68">
        <v>5469.38</v>
      </c>
      <c r="E68">
        <v>2738.07</v>
      </c>
      <c r="F68">
        <v>100</v>
      </c>
      <c r="G68" t="s">
        <v>31</v>
      </c>
      <c r="H68">
        <v>15180.47</v>
      </c>
      <c r="I68">
        <v>2738.07</v>
      </c>
    </row>
    <row r="69" spans="1:9" hidden="1" x14ac:dyDescent="0.3">
      <c r="A69" t="s">
        <v>43</v>
      </c>
      <c r="B69" t="s">
        <v>24</v>
      </c>
      <c r="C69" t="s">
        <v>12</v>
      </c>
      <c r="D69">
        <v>3777.62</v>
      </c>
      <c r="E69">
        <v>2012.42</v>
      </c>
      <c r="F69">
        <v>76</v>
      </c>
      <c r="G69" t="s">
        <v>31</v>
      </c>
      <c r="H69">
        <v>10411.379999999999</v>
      </c>
      <c r="I69">
        <v>2012.42</v>
      </c>
    </row>
    <row r="70" spans="1:9" hidden="1" x14ac:dyDescent="0.3">
      <c r="A70" t="s">
        <v>39</v>
      </c>
      <c r="B70" t="s">
        <v>18</v>
      </c>
      <c r="C70" t="s">
        <v>10</v>
      </c>
      <c r="D70">
        <v>21109.11</v>
      </c>
      <c r="E70">
        <v>6201</v>
      </c>
      <c r="F70">
        <v>208</v>
      </c>
      <c r="G70" t="s">
        <v>31</v>
      </c>
      <c r="H70">
        <v>36992.49</v>
      </c>
      <c r="I70">
        <v>6201</v>
      </c>
    </row>
    <row r="71" spans="1:9" hidden="1" x14ac:dyDescent="0.3">
      <c r="A71" t="s">
        <v>39</v>
      </c>
      <c r="B71" t="s">
        <v>18</v>
      </c>
      <c r="C71" t="s">
        <v>12</v>
      </c>
      <c r="D71">
        <v>11735.29</v>
      </c>
      <c r="F71">
        <v>118</v>
      </c>
      <c r="G71" t="s">
        <v>31</v>
      </c>
      <c r="H71">
        <v>20416.98</v>
      </c>
    </row>
    <row r="72" spans="1:9" hidden="1" x14ac:dyDescent="0.3">
      <c r="A72" t="s">
        <v>39</v>
      </c>
      <c r="B72" t="s">
        <v>13</v>
      </c>
      <c r="C72" t="s">
        <v>12</v>
      </c>
      <c r="D72">
        <v>11088.17</v>
      </c>
      <c r="E72">
        <v>3310.95</v>
      </c>
      <c r="F72">
        <v>90</v>
      </c>
      <c r="G72" t="s">
        <v>31</v>
      </c>
      <c r="H72">
        <v>17702.55</v>
      </c>
      <c r="I72">
        <v>3310.95</v>
      </c>
    </row>
    <row r="73" spans="1:9" hidden="1" x14ac:dyDescent="0.3">
      <c r="A73" t="s">
        <v>39</v>
      </c>
      <c r="B73" t="s">
        <v>33</v>
      </c>
      <c r="C73" t="s">
        <v>10</v>
      </c>
      <c r="D73">
        <v>12029.58</v>
      </c>
      <c r="E73">
        <v>3005.04</v>
      </c>
      <c r="F73">
        <v>160</v>
      </c>
      <c r="G73" t="s">
        <v>31</v>
      </c>
      <c r="H73">
        <v>22296.12</v>
      </c>
      <c r="I73">
        <v>3005.04</v>
      </c>
    </row>
    <row r="74" spans="1:9" hidden="1" x14ac:dyDescent="0.3">
      <c r="A74" t="s">
        <v>39</v>
      </c>
      <c r="B74" t="s">
        <v>33</v>
      </c>
      <c r="C74" t="s">
        <v>12</v>
      </c>
      <c r="D74">
        <v>8329.1200000000008</v>
      </c>
      <c r="E74">
        <v>2902.6</v>
      </c>
      <c r="F74">
        <v>84</v>
      </c>
      <c r="G74" t="s">
        <v>31</v>
      </c>
      <c r="H74">
        <v>15446.78</v>
      </c>
      <c r="I74">
        <v>2902.6</v>
      </c>
    </row>
    <row r="75" spans="1:9" hidden="1" x14ac:dyDescent="0.3">
      <c r="A75" t="s">
        <v>39</v>
      </c>
      <c r="B75" t="s">
        <v>20</v>
      </c>
      <c r="C75" t="s">
        <v>10</v>
      </c>
      <c r="D75">
        <v>12112.52</v>
      </c>
      <c r="E75">
        <v>2346.5700000000002</v>
      </c>
      <c r="F75">
        <v>124</v>
      </c>
      <c r="G75" t="s">
        <v>31</v>
      </c>
      <c r="H75">
        <v>16753.41</v>
      </c>
      <c r="I75">
        <v>2346.5700000000002</v>
      </c>
    </row>
    <row r="76" spans="1:9" hidden="1" x14ac:dyDescent="0.3">
      <c r="A76" t="s">
        <v>39</v>
      </c>
      <c r="B76" t="s">
        <v>20</v>
      </c>
      <c r="C76" t="s">
        <v>12</v>
      </c>
      <c r="D76">
        <v>6915.3</v>
      </c>
      <c r="E76">
        <v>1708.83</v>
      </c>
      <c r="F76">
        <v>76</v>
      </c>
      <c r="G76" t="s">
        <v>31</v>
      </c>
      <c r="H76">
        <v>9411.42</v>
      </c>
      <c r="I76">
        <v>1708.83</v>
      </c>
    </row>
    <row r="77" spans="1:9" hidden="1" x14ac:dyDescent="0.3">
      <c r="A77" t="s">
        <v>39</v>
      </c>
      <c r="B77" t="s">
        <v>24</v>
      </c>
      <c r="C77" t="s">
        <v>10</v>
      </c>
      <c r="D77">
        <v>6467.28</v>
      </c>
      <c r="E77">
        <v>2554.06</v>
      </c>
      <c r="F77">
        <v>124</v>
      </c>
      <c r="G77" t="s">
        <v>31</v>
      </c>
      <c r="H77">
        <v>18887.37</v>
      </c>
      <c r="I77">
        <v>2554.06</v>
      </c>
    </row>
    <row r="78" spans="1:9" hidden="1" x14ac:dyDescent="0.3">
      <c r="A78" t="s">
        <v>39</v>
      </c>
      <c r="B78" t="s">
        <v>24</v>
      </c>
      <c r="C78" t="s">
        <v>12</v>
      </c>
      <c r="D78">
        <v>4289.04</v>
      </c>
      <c r="F78">
        <v>86</v>
      </c>
      <c r="G78" t="s">
        <v>31</v>
      </c>
      <c r="H78">
        <v>12234.75</v>
      </c>
    </row>
    <row r="79" spans="1:9" hidden="1" x14ac:dyDescent="0.3">
      <c r="A79" t="s">
        <v>36</v>
      </c>
      <c r="B79" t="s">
        <v>18</v>
      </c>
      <c r="C79" t="s">
        <v>10</v>
      </c>
      <c r="D79">
        <v>22605.360000000001</v>
      </c>
      <c r="E79">
        <v>4575.58</v>
      </c>
      <c r="F79">
        <v>409</v>
      </c>
      <c r="G79" t="s">
        <v>40</v>
      </c>
      <c r="H79">
        <v>37863.72</v>
      </c>
      <c r="I79">
        <v>4575.58</v>
      </c>
    </row>
    <row r="80" spans="1:9" hidden="1" x14ac:dyDescent="0.3">
      <c r="A80" t="s">
        <v>36</v>
      </c>
      <c r="B80" t="s">
        <v>18</v>
      </c>
      <c r="C80" t="s">
        <v>12</v>
      </c>
      <c r="D80">
        <v>13722.67</v>
      </c>
      <c r="E80">
        <v>4130.33</v>
      </c>
      <c r="F80">
        <v>186</v>
      </c>
      <c r="G80" t="s">
        <v>40</v>
      </c>
      <c r="H80">
        <v>22677.35</v>
      </c>
      <c r="I80">
        <v>4130.33</v>
      </c>
    </row>
    <row r="81" spans="1:9" hidden="1" x14ac:dyDescent="0.3">
      <c r="A81" t="s">
        <v>36</v>
      </c>
      <c r="B81" t="s">
        <v>13</v>
      </c>
      <c r="C81" t="s">
        <v>10</v>
      </c>
      <c r="D81">
        <v>18133.900000000001</v>
      </c>
      <c r="E81">
        <v>4777.9399999999996</v>
      </c>
      <c r="F81">
        <v>257</v>
      </c>
      <c r="G81" t="s">
        <v>40</v>
      </c>
      <c r="H81">
        <v>27439.13</v>
      </c>
      <c r="I81">
        <v>4777.9399999999996</v>
      </c>
    </row>
    <row r="82" spans="1:9" hidden="1" x14ac:dyDescent="0.3">
      <c r="A82" t="s">
        <v>36</v>
      </c>
      <c r="B82" t="s">
        <v>13</v>
      </c>
      <c r="C82" t="s">
        <v>12</v>
      </c>
      <c r="D82">
        <v>12118.92</v>
      </c>
      <c r="E82">
        <v>2968.8</v>
      </c>
      <c r="F82">
        <v>129</v>
      </c>
      <c r="G82" t="s">
        <v>40</v>
      </c>
      <c r="H82">
        <v>19485.259999999998</v>
      </c>
      <c r="I82">
        <v>2968.8</v>
      </c>
    </row>
    <row r="83" spans="1:9" hidden="1" x14ac:dyDescent="0.3">
      <c r="A83" t="s">
        <v>36</v>
      </c>
      <c r="B83" t="s">
        <v>33</v>
      </c>
      <c r="C83" t="s">
        <v>10</v>
      </c>
      <c r="D83">
        <v>13570.05</v>
      </c>
      <c r="E83">
        <v>3703.6</v>
      </c>
      <c r="F83">
        <v>291</v>
      </c>
      <c r="G83" t="s">
        <v>40</v>
      </c>
      <c r="H83">
        <v>25049.95</v>
      </c>
      <c r="I83">
        <v>3703.6</v>
      </c>
    </row>
    <row r="84" spans="1:9" hidden="1" x14ac:dyDescent="0.3">
      <c r="A84" t="s">
        <v>36</v>
      </c>
      <c r="B84" t="s">
        <v>33</v>
      </c>
      <c r="C84" t="s">
        <v>12</v>
      </c>
      <c r="D84">
        <v>9680.44</v>
      </c>
      <c r="E84">
        <v>3178.54</v>
      </c>
      <c r="F84">
        <v>87</v>
      </c>
      <c r="G84" t="s">
        <v>40</v>
      </c>
      <c r="H84">
        <v>16901.21</v>
      </c>
      <c r="I84">
        <v>3178.54</v>
      </c>
    </row>
    <row r="85" spans="1:9" hidden="1" x14ac:dyDescent="0.3">
      <c r="A85" t="s">
        <v>36</v>
      </c>
      <c r="B85" t="s">
        <v>20</v>
      </c>
      <c r="C85" t="s">
        <v>10</v>
      </c>
      <c r="D85">
        <v>11768.1</v>
      </c>
      <c r="E85">
        <v>2571.3200000000002</v>
      </c>
      <c r="F85">
        <v>166</v>
      </c>
      <c r="G85" t="s">
        <v>40</v>
      </c>
      <c r="H85">
        <v>17396.810000000001</v>
      </c>
      <c r="I85">
        <v>2571.3200000000002</v>
      </c>
    </row>
    <row r="86" spans="1:9" hidden="1" x14ac:dyDescent="0.3">
      <c r="A86" t="s">
        <v>36</v>
      </c>
      <c r="B86" t="s">
        <v>20</v>
      </c>
      <c r="C86" t="s">
        <v>12</v>
      </c>
      <c r="D86">
        <v>6996.41</v>
      </c>
      <c r="E86">
        <v>1759</v>
      </c>
      <c r="F86">
        <v>103</v>
      </c>
      <c r="G86" t="s">
        <v>40</v>
      </c>
      <c r="H86">
        <v>10502.78</v>
      </c>
      <c r="I86">
        <v>1759</v>
      </c>
    </row>
    <row r="87" spans="1:9" hidden="1" x14ac:dyDescent="0.3">
      <c r="A87" t="s">
        <v>36</v>
      </c>
      <c r="B87" t="s">
        <v>24</v>
      </c>
      <c r="C87" t="s">
        <v>10</v>
      </c>
      <c r="D87">
        <v>8480.26</v>
      </c>
      <c r="E87">
        <v>4497.99</v>
      </c>
      <c r="F87">
        <v>231</v>
      </c>
      <c r="G87" t="s">
        <v>40</v>
      </c>
      <c r="H87">
        <v>24089.439999999999</v>
      </c>
      <c r="I87">
        <v>4497.99</v>
      </c>
    </row>
    <row r="88" spans="1:9" hidden="1" x14ac:dyDescent="0.3">
      <c r="A88" t="s">
        <v>36</v>
      </c>
      <c r="B88" t="s">
        <v>24</v>
      </c>
      <c r="C88" t="s">
        <v>12</v>
      </c>
      <c r="D88">
        <v>5125.95</v>
      </c>
      <c r="E88">
        <v>2057.15</v>
      </c>
      <c r="F88">
        <v>82</v>
      </c>
      <c r="G88" t="s">
        <v>40</v>
      </c>
      <c r="H88">
        <v>14320.91</v>
      </c>
      <c r="I88">
        <v>2057.15</v>
      </c>
    </row>
    <row r="89" spans="1:9" x14ac:dyDescent="0.3">
      <c r="A89" t="s">
        <v>32</v>
      </c>
      <c r="B89" t="s">
        <v>18</v>
      </c>
      <c r="C89" t="s">
        <v>10</v>
      </c>
      <c r="D89">
        <v>22724.94</v>
      </c>
      <c r="E89">
        <v>6179.13</v>
      </c>
      <c r="F89">
        <v>202</v>
      </c>
      <c r="G89" t="s">
        <v>40</v>
      </c>
      <c r="H89">
        <v>34323.946049007842</v>
      </c>
      <c r="I89">
        <v>6179.13</v>
      </c>
    </row>
    <row r="90" spans="1:9" x14ac:dyDescent="0.3">
      <c r="A90" t="s">
        <v>32</v>
      </c>
      <c r="B90" t="s">
        <v>18</v>
      </c>
      <c r="C90" t="s">
        <v>12</v>
      </c>
      <c r="D90">
        <v>16969.650000000001</v>
      </c>
      <c r="E90">
        <v>3950.32</v>
      </c>
      <c r="F90">
        <v>134</v>
      </c>
      <c r="G90" t="s">
        <v>40</v>
      </c>
      <c r="H90">
        <v>23590.544453075348</v>
      </c>
      <c r="I90">
        <v>3950.32</v>
      </c>
    </row>
    <row r="91" spans="1:9" x14ac:dyDescent="0.3">
      <c r="A91" t="s">
        <v>32</v>
      </c>
      <c r="B91" t="s">
        <v>13</v>
      </c>
      <c r="C91" t="s">
        <v>10</v>
      </c>
      <c r="D91">
        <v>18861.580000000002</v>
      </c>
      <c r="E91">
        <v>3695.46</v>
      </c>
      <c r="F91">
        <v>228</v>
      </c>
      <c r="G91" t="s">
        <v>40</v>
      </c>
      <c r="H91">
        <v>25801.391144693171</v>
      </c>
      <c r="I91">
        <v>3695.46</v>
      </c>
    </row>
    <row r="92" spans="1:9" x14ac:dyDescent="0.3">
      <c r="A92" t="s">
        <v>32</v>
      </c>
      <c r="B92" t="s">
        <v>13</v>
      </c>
      <c r="C92" t="s">
        <v>12</v>
      </c>
      <c r="D92">
        <v>13792.88</v>
      </c>
      <c r="E92">
        <v>4104.24</v>
      </c>
      <c r="F92">
        <v>173</v>
      </c>
      <c r="G92" t="s">
        <v>40</v>
      </c>
      <c r="H92">
        <v>17286.385142292213</v>
      </c>
      <c r="I92">
        <v>4104.24</v>
      </c>
    </row>
    <row r="93" spans="1:9" x14ac:dyDescent="0.3">
      <c r="A93" t="s">
        <v>32</v>
      </c>
      <c r="B93" t="s">
        <v>33</v>
      </c>
      <c r="C93" t="s">
        <v>10</v>
      </c>
      <c r="D93">
        <v>15084.56</v>
      </c>
      <c r="E93">
        <v>4910.8</v>
      </c>
      <c r="F93">
        <v>134</v>
      </c>
      <c r="G93" t="s">
        <v>40</v>
      </c>
      <c r="H93">
        <v>22592.154508862372</v>
      </c>
      <c r="I93">
        <v>4910.8</v>
      </c>
    </row>
    <row r="94" spans="1:9" x14ac:dyDescent="0.3">
      <c r="A94" t="s">
        <v>32</v>
      </c>
      <c r="B94" t="s">
        <v>33</v>
      </c>
      <c r="C94" t="s">
        <v>12</v>
      </c>
      <c r="D94">
        <v>8960.89</v>
      </c>
      <c r="E94">
        <v>2706.08</v>
      </c>
      <c r="F94">
        <v>170</v>
      </c>
      <c r="G94" t="s">
        <v>40</v>
      </c>
      <c r="H94">
        <v>14046.663371230847</v>
      </c>
      <c r="I94">
        <v>2706.08</v>
      </c>
    </row>
    <row r="95" spans="1:9" x14ac:dyDescent="0.3">
      <c r="A95" t="s">
        <v>32</v>
      </c>
      <c r="B95" t="s">
        <v>20</v>
      </c>
      <c r="C95" t="s">
        <v>10</v>
      </c>
      <c r="D95">
        <v>14538.07</v>
      </c>
      <c r="E95">
        <v>4043.77</v>
      </c>
      <c r="F95">
        <v>188</v>
      </c>
      <c r="G95" t="s">
        <v>40</v>
      </c>
      <c r="H95">
        <v>17726.318762799237</v>
      </c>
      <c r="I95">
        <v>4043.77</v>
      </c>
    </row>
    <row r="96" spans="1:9" x14ac:dyDescent="0.3">
      <c r="A96" t="s">
        <v>32</v>
      </c>
      <c r="B96" t="s">
        <v>20</v>
      </c>
      <c r="C96" t="s">
        <v>12</v>
      </c>
      <c r="D96">
        <v>8533.86</v>
      </c>
      <c r="E96">
        <v>2361.35</v>
      </c>
      <c r="F96">
        <v>121</v>
      </c>
      <c r="G96" t="s">
        <v>40</v>
      </c>
      <c r="H96">
        <v>9966.1817668243784</v>
      </c>
      <c r="I96">
        <v>2361.35</v>
      </c>
    </row>
    <row r="97" spans="1:9" x14ac:dyDescent="0.3">
      <c r="A97" t="s">
        <v>32</v>
      </c>
      <c r="B97" t="s">
        <v>24</v>
      </c>
      <c r="C97" t="s">
        <v>10</v>
      </c>
      <c r="D97">
        <v>8515.36</v>
      </c>
      <c r="E97">
        <v>4331.74</v>
      </c>
      <c r="F97">
        <v>115</v>
      </c>
      <c r="G97" t="s">
        <v>40</v>
      </c>
      <c r="H97">
        <v>21232.871972318342</v>
      </c>
      <c r="I97">
        <v>4331.74</v>
      </c>
    </row>
    <row r="98" spans="1:9" hidden="1" x14ac:dyDescent="0.3">
      <c r="A98" t="s">
        <v>43</v>
      </c>
      <c r="B98" t="s">
        <v>18</v>
      </c>
      <c r="C98" t="s">
        <v>10</v>
      </c>
      <c r="D98">
        <v>15919.85</v>
      </c>
      <c r="E98">
        <v>3688.93</v>
      </c>
      <c r="F98">
        <v>311</v>
      </c>
      <c r="G98" t="s">
        <v>40</v>
      </c>
      <c r="H98">
        <v>26861.81</v>
      </c>
      <c r="I98">
        <v>3688.93</v>
      </c>
    </row>
    <row r="99" spans="1:9" hidden="1" x14ac:dyDescent="0.3">
      <c r="A99" t="s">
        <v>43</v>
      </c>
      <c r="B99" t="s">
        <v>18</v>
      </c>
      <c r="C99" t="s">
        <v>12</v>
      </c>
      <c r="D99">
        <v>9983.3799999999992</v>
      </c>
      <c r="E99">
        <v>3274.56</v>
      </c>
      <c r="F99">
        <v>79</v>
      </c>
      <c r="G99" t="s">
        <v>40</v>
      </c>
      <c r="H99">
        <v>16569.57</v>
      </c>
      <c r="I99">
        <v>3274.56</v>
      </c>
    </row>
    <row r="100" spans="1:9" hidden="1" x14ac:dyDescent="0.3">
      <c r="A100" t="s">
        <v>43</v>
      </c>
      <c r="B100" t="s">
        <v>13</v>
      </c>
      <c r="C100" t="s">
        <v>10</v>
      </c>
      <c r="D100">
        <v>11861.82</v>
      </c>
      <c r="E100">
        <v>3323.84</v>
      </c>
      <c r="F100">
        <v>146</v>
      </c>
      <c r="G100" t="s">
        <v>40</v>
      </c>
      <c r="H100">
        <v>17938.689999999999</v>
      </c>
      <c r="I100">
        <v>3323.84</v>
      </c>
    </row>
    <row r="101" spans="1:9" hidden="1" x14ac:dyDescent="0.3">
      <c r="A101" t="s">
        <v>43</v>
      </c>
      <c r="B101" t="s">
        <v>13</v>
      </c>
      <c r="C101" t="s">
        <v>12</v>
      </c>
      <c r="D101">
        <v>8326.82</v>
      </c>
      <c r="E101">
        <v>2452.37</v>
      </c>
      <c r="F101">
        <v>83</v>
      </c>
      <c r="G101" t="s">
        <v>40</v>
      </c>
      <c r="H101">
        <v>12572.55</v>
      </c>
      <c r="I101">
        <v>2452.37</v>
      </c>
    </row>
    <row r="102" spans="1:9" hidden="1" x14ac:dyDescent="0.3">
      <c r="A102" t="s">
        <v>43</v>
      </c>
      <c r="B102" t="s">
        <v>33</v>
      </c>
      <c r="C102" t="s">
        <v>10</v>
      </c>
      <c r="D102">
        <v>10443.14</v>
      </c>
      <c r="E102">
        <v>2283.27</v>
      </c>
      <c r="F102">
        <v>147</v>
      </c>
      <c r="G102" t="s">
        <v>40</v>
      </c>
      <c r="H102">
        <v>18630.96</v>
      </c>
      <c r="I102">
        <v>2283.27</v>
      </c>
    </row>
    <row r="103" spans="1:9" hidden="1" x14ac:dyDescent="0.3">
      <c r="A103" t="s">
        <v>43</v>
      </c>
      <c r="B103" t="s">
        <v>33</v>
      </c>
      <c r="C103" t="s">
        <v>12</v>
      </c>
      <c r="D103">
        <v>5537.14</v>
      </c>
      <c r="E103">
        <v>1768.13</v>
      </c>
      <c r="F103">
        <v>96</v>
      </c>
      <c r="G103" t="s">
        <v>40</v>
      </c>
      <c r="H103">
        <v>10153.93</v>
      </c>
      <c r="I103">
        <v>1768.13</v>
      </c>
    </row>
    <row r="104" spans="1:9" hidden="1" x14ac:dyDescent="0.3">
      <c r="A104" t="s">
        <v>43</v>
      </c>
      <c r="B104" t="s">
        <v>20</v>
      </c>
      <c r="C104" t="s">
        <v>10</v>
      </c>
      <c r="D104">
        <v>9059.89</v>
      </c>
      <c r="E104">
        <v>1783.3</v>
      </c>
      <c r="F104">
        <v>76</v>
      </c>
      <c r="G104" t="s">
        <v>40</v>
      </c>
      <c r="H104">
        <v>12663.64</v>
      </c>
      <c r="I104">
        <v>1783.3</v>
      </c>
    </row>
    <row r="105" spans="1:9" hidden="1" x14ac:dyDescent="0.3">
      <c r="A105" t="s">
        <v>43</v>
      </c>
      <c r="B105" t="s">
        <v>20</v>
      </c>
      <c r="C105" t="s">
        <v>12</v>
      </c>
      <c r="D105">
        <v>5344.27</v>
      </c>
      <c r="E105">
        <v>1121.5999999999999</v>
      </c>
      <c r="F105">
        <v>76</v>
      </c>
      <c r="G105" t="s">
        <v>40</v>
      </c>
      <c r="H105">
        <v>8010.92</v>
      </c>
      <c r="I105">
        <v>1121.5999999999999</v>
      </c>
    </row>
    <row r="106" spans="1:9" hidden="1" x14ac:dyDescent="0.3">
      <c r="A106" t="s">
        <v>43</v>
      </c>
      <c r="B106" t="s">
        <v>24</v>
      </c>
      <c r="C106" t="s">
        <v>10</v>
      </c>
      <c r="D106">
        <v>5190.96</v>
      </c>
      <c r="E106">
        <v>2060.9</v>
      </c>
      <c r="F106">
        <v>114</v>
      </c>
      <c r="G106" t="s">
        <v>40</v>
      </c>
      <c r="H106">
        <v>14313.74</v>
      </c>
      <c r="I106">
        <v>2060.9</v>
      </c>
    </row>
    <row r="107" spans="1:9" hidden="1" x14ac:dyDescent="0.3">
      <c r="A107" t="s">
        <v>43</v>
      </c>
      <c r="B107" t="s">
        <v>24</v>
      </c>
      <c r="C107" t="s">
        <v>12</v>
      </c>
      <c r="D107">
        <v>3292.67</v>
      </c>
      <c r="E107">
        <v>1102.31</v>
      </c>
      <c r="F107">
        <v>58</v>
      </c>
      <c r="G107" t="s">
        <v>40</v>
      </c>
      <c r="H107">
        <v>9149.07</v>
      </c>
      <c r="I107">
        <v>1102.31</v>
      </c>
    </row>
    <row r="108" spans="1:9" hidden="1" x14ac:dyDescent="0.3">
      <c r="A108" t="s">
        <v>39</v>
      </c>
      <c r="B108" t="s">
        <v>18</v>
      </c>
      <c r="C108" t="s">
        <v>10</v>
      </c>
      <c r="D108">
        <v>19979.22</v>
      </c>
      <c r="E108">
        <v>4971.3599999999997</v>
      </c>
      <c r="F108">
        <v>340</v>
      </c>
      <c r="G108" t="s">
        <v>40</v>
      </c>
      <c r="H108">
        <v>33999.449999999997</v>
      </c>
      <c r="I108">
        <v>4971.3599999999997</v>
      </c>
    </row>
    <row r="109" spans="1:9" hidden="1" x14ac:dyDescent="0.3">
      <c r="A109" t="s">
        <v>39</v>
      </c>
      <c r="B109" t="s">
        <v>18</v>
      </c>
      <c r="C109" t="s">
        <v>12</v>
      </c>
      <c r="D109">
        <v>13042.1</v>
      </c>
      <c r="E109">
        <v>4093.71</v>
      </c>
      <c r="F109">
        <v>153</v>
      </c>
      <c r="G109" t="s">
        <v>40</v>
      </c>
      <c r="H109">
        <v>22291.41</v>
      </c>
      <c r="I109">
        <v>4093.71</v>
      </c>
    </row>
    <row r="110" spans="1:9" hidden="1" x14ac:dyDescent="0.3">
      <c r="A110" t="s">
        <v>39</v>
      </c>
      <c r="B110" t="s">
        <v>13</v>
      </c>
      <c r="C110" t="s">
        <v>10</v>
      </c>
      <c r="D110">
        <v>18782.830000000002</v>
      </c>
      <c r="E110">
        <v>4643.92</v>
      </c>
      <c r="F110">
        <v>226</v>
      </c>
      <c r="G110" t="s">
        <v>40</v>
      </c>
      <c r="H110">
        <v>28567.84</v>
      </c>
      <c r="I110">
        <v>4643.92</v>
      </c>
    </row>
    <row r="111" spans="1:9" hidden="1" x14ac:dyDescent="0.3">
      <c r="A111" t="s">
        <v>39</v>
      </c>
      <c r="B111" t="s">
        <v>13</v>
      </c>
      <c r="C111" t="s">
        <v>12</v>
      </c>
      <c r="D111">
        <v>9967.34</v>
      </c>
      <c r="E111">
        <v>2149.42</v>
      </c>
      <c r="F111">
        <v>70</v>
      </c>
      <c r="G111" t="s">
        <v>40</v>
      </c>
      <c r="H111">
        <v>15376.1</v>
      </c>
      <c r="I111">
        <v>2149.42</v>
      </c>
    </row>
    <row r="112" spans="1:9" hidden="1" x14ac:dyDescent="0.3">
      <c r="A112" t="s">
        <v>39</v>
      </c>
      <c r="B112" t="s">
        <v>33</v>
      </c>
      <c r="C112" t="s">
        <v>10</v>
      </c>
      <c r="D112">
        <v>13252.3</v>
      </c>
      <c r="E112">
        <v>3131.53</v>
      </c>
      <c r="F112">
        <v>280</v>
      </c>
      <c r="G112" t="s">
        <v>40</v>
      </c>
      <c r="H112">
        <v>24763.5</v>
      </c>
      <c r="I112">
        <v>3131.53</v>
      </c>
    </row>
    <row r="113" spans="1:9" hidden="1" x14ac:dyDescent="0.3">
      <c r="A113" t="s">
        <v>39</v>
      </c>
      <c r="B113" t="s">
        <v>20</v>
      </c>
      <c r="C113" t="s">
        <v>10</v>
      </c>
      <c r="D113">
        <v>12184.87</v>
      </c>
      <c r="E113">
        <v>3327.17</v>
      </c>
      <c r="F113">
        <v>124</v>
      </c>
      <c r="G113" t="s">
        <v>40</v>
      </c>
      <c r="H113">
        <v>17532.04</v>
      </c>
      <c r="I113">
        <v>3327.17</v>
      </c>
    </row>
    <row r="114" spans="1:9" hidden="1" x14ac:dyDescent="0.3">
      <c r="A114" t="s">
        <v>39</v>
      </c>
      <c r="B114" t="s">
        <v>20</v>
      </c>
      <c r="C114" t="s">
        <v>12</v>
      </c>
      <c r="D114">
        <v>6899.1</v>
      </c>
      <c r="E114">
        <v>1691.43</v>
      </c>
      <c r="F114">
        <v>57</v>
      </c>
      <c r="G114" t="s">
        <v>40</v>
      </c>
      <c r="H114">
        <v>10220.34</v>
      </c>
      <c r="I114">
        <v>1691.43</v>
      </c>
    </row>
    <row r="115" spans="1:9" hidden="1" x14ac:dyDescent="0.3">
      <c r="A115" t="s">
        <v>39</v>
      </c>
      <c r="B115" t="s">
        <v>24</v>
      </c>
      <c r="C115" t="s">
        <v>10</v>
      </c>
      <c r="D115">
        <v>6973.53</v>
      </c>
      <c r="E115">
        <v>3232.34</v>
      </c>
      <c r="F115">
        <v>122</v>
      </c>
      <c r="G115" t="s">
        <v>40</v>
      </c>
      <c r="H115">
        <v>20015.18</v>
      </c>
      <c r="I115">
        <v>3232.34</v>
      </c>
    </row>
    <row r="116" spans="1:9" hidden="1" x14ac:dyDescent="0.3">
      <c r="A116" t="s">
        <v>39</v>
      </c>
      <c r="B116" t="s">
        <v>24</v>
      </c>
      <c r="C116" t="s">
        <v>12</v>
      </c>
      <c r="D116">
        <v>4202.29</v>
      </c>
      <c r="E116">
        <v>1534.6</v>
      </c>
      <c r="F116">
        <v>59</v>
      </c>
      <c r="G116" t="s">
        <v>40</v>
      </c>
      <c r="H116">
        <v>12509.25</v>
      </c>
      <c r="I116">
        <v>1534.6</v>
      </c>
    </row>
    <row r="117" spans="1:9" hidden="1" x14ac:dyDescent="0.3">
      <c r="A117" t="s">
        <v>36</v>
      </c>
      <c r="B117" t="s">
        <v>18</v>
      </c>
      <c r="C117" t="s">
        <v>10</v>
      </c>
      <c r="D117">
        <v>20092.59</v>
      </c>
      <c r="F117">
        <v>177</v>
      </c>
      <c r="G117" t="s">
        <v>11</v>
      </c>
      <c r="H117">
        <v>34865.629999999997</v>
      </c>
      <c r="I117">
        <v>6824.15</v>
      </c>
    </row>
    <row r="118" spans="1:9" hidden="1" x14ac:dyDescent="0.3">
      <c r="A118" t="s">
        <v>36</v>
      </c>
      <c r="B118" t="s">
        <v>18</v>
      </c>
      <c r="C118" t="s">
        <v>12</v>
      </c>
      <c r="D118">
        <v>15441.63</v>
      </c>
      <c r="F118">
        <v>119</v>
      </c>
      <c r="G118" t="s">
        <v>11</v>
      </c>
      <c r="H118">
        <v>25518.799999999999</v>
      </c>
      <c r="I118">
        <v>4180.59</v>
      </c>
    </row>
    <row r="119" spans="1:9" hidden="1" x14ac:dyDescent="0.3">
      <c r="A119" t="s">
        <v>36</v>
      </c>
      <c r="B119" t="s">
        <v>13</v>
      </c>
      <c r="C119" t="s">
        <v>10</v>
      </c>
      <c r="D119">
        <v>16989.400000000001</v>
      </c>
      <c r="F119">
        <v>123</v>
      </c>
      <c r="G119" t="s">
        <v>11</v>
      </c>
      <c r="H119">
        <v>26312.44</v>
      </c>
      <c r="I119">
        <v>3554.93</v>
      </c>
    </row>
    <row r="120" spans="1:9" hidden="1" x14ac:dyDescent="0.3">
      <c r="A120" t="s">
        <v>36</v>
      </c>
      <c r="B120" t="s">
        <v>13</v>
      </c>
      <c r="C120" t="s">
        <v>12</v>
      </c>
      <c r="D120">
        <v>11582.57</v>
      </c>
      <c r="F120">
        <v>92</v>
      </c>
      <c r="G120" t="s">
        <v>11</v>
      </c>
      <c r="H120">
        <v>17275.71</v>
      </c>
      <c r="I120">
        <v>3397.34</v>
      </c>
    </row>
    <row r="121" spans="1:9" hidden="1" x14ac:dyDescent="0.3">
      <c r="A121" t="s">
        <v>36</v>
      </c>
      <c r="B121" t="s">
        <v>33</v>
      </c>
      <c r="C121" t="s">
        <v>10</v>
      </c>
      <c r="D121">
        <v>14582.06</v>
      </c>
      <c r="F121">
        <v>258</v>
      </c>
      <c r="G121" t="s">
        <v>11</v>
      </c>
      <c r="H121">
        <v>27295.22</v>
      </c>
      <c r="I121">
        <v>4920.46</v>
      </c>
    </row>
    <row r="122" spans="1:9" hidden="1" x14ac:dyDescent="0.3">
      <c r="A122" t="s">
        <v>36</v>
      </c>
      <c r="B122" t="s">
        <v>33</v>
      </c>
      <c r="C122" t="s">
        <v>12</v>
      </c>
      <c r="D122">
        <v>8655.65</v>
      </c>
      <c r="F122">
        <v>124</v>
      </c>
      <c r="G122" t="s">
        <v>11</v>
      </c>
      <c r="H122">
        <v>15111.26</v>
      </c>
      <c r="I122">
        <v>2221.54</v>
      </c>
    </row>
    <row r="123" spans="1:9" hidden="1" x14ac:dyDescent="0.3">
      <c r="A123" t="s">
        <v>36</v>
      </c>
      <c r="B123" t="s">
        <v>20</v>
      </c>
      <c r="C123" t="s">
        <v>10</v>
      </c>
      <c r="D123">
        <v>13779.5</v>
      </c>
      <c r="F123">
        <v>173</v>
      </c>
      <c r="G123" t="s">
        <v>11</v>
      </c>
      <c r="H123">
        <v>19070.87</v>
      </c>
      <c r="I123">
        <v>3716.52</v>
      </c>
    </row>
    <row r="124" spans="1:9" hidden="1" x14ac:dyDescent="0.3">
      <c r="A124" t="s">
        <v>36</v>
      </c>
      <c r="B124" t="s">
        <v>20</v>
      </c>
      <c r="C124" t="s">
        <v>12</v>
      </c>
      <c r="D124">
        <v>7545</v>
      </c>
      <c r="F124">
        <v>98</v>
      </c>
      <c r="G124" t="s">
        <v>11</v>
      </c>
      <c r="H124">
        <v>10449.459999999999</v>
      </c>
      <c r="I124">
        <v>1562.23</v>
      </c>
    </row>
    <row r="125" spans="1:9" hidden="1" x14ac:dyDescent="0.3">
      <c r="A125" t="s">
        <v>36</v>
      </c>
      <c r="B125" t="s">
        <v>24</v>
      </c>
      <c r="C125" t="s">
        <v>10</v>
      </c>
      <c r="D125">
        <v>8155.68</v>
      </c>
      <c r="F125">
        <v>160</v>
      </c>
      <c r="G125" t="s">
        <v>11</v>
      </c>
      <c r="H125">
        <v>23348.41</v>
      </c>
      <c r="I125">
        <v>3725.05</v>
      </c>
    </row>
    <row r="126" spans="1:9" hidden="1" x14ac:dyDescent="0.3">
      <c r="A126" t="s">
        <v>36</v>
      </c>
      <c r="B126" t="s">
        <v>24</v>
      </c>
      <c r="C126" t="s">
        <v>12</v>
      </c>
      <c r="D126">
        <v>4892.17</v>
      </c>
      <c r="F126">
        <v>95</v>
      </c>
      <c r="G126" t="s">
        <v>11</v>
      </c>
      <c r="H126">
        <v>13336.24</v>
      </c>
      <c r="I126">
        <v>1630.48</v>
      </c>
    </row>
    <row r="127" spans="1:9" x14ac:dyDescent="0.3">
      <c r="A127" t="s">
        <v>32</v>
      </c>
      <c r="B127" t="s">
        <v>18</v>
      </c>
      <c r="C127" t="s">
        <v>10</v>
      </c>
      <c r="D127">
        <v>23353.1</v>
      </c>
      <c r="F127">
        <v>234</v>
      </c>
      <c r="G127" t="s">
        <v>11</v>
      </c>
      <c r="H127">
        <v>40840.050000000003</v>
      </c>
      <c r="I127">
        <v>6827.1</v>
      </c>
    </row>
    <row r="128" spans="1:9" x14ac:dyDescent="0.3">
      <c r="A128" t="s">
        <v>32</v>
      </c>
      <c r="B128" t="s">
        <v>18</v>
      </c>
      <c r="C128" t="s">
        <v>12</v>
      </c>
      <c r="D128">
        <v>17824.93</v>
      </c>
      <c r="F128">
        <v>284</v>
      </c>
      <c r="G128" t="s">
        <v>11</v>
      </c>
      <c r="H128">
        <v>29451.22</v>
      </c>
      <c r="I128">
        <v>4159.2299999999996</v>
      </c>
    </row>
    <row r="129" spans="1:9" x14ac:dyDescent="0.3">
      <c r="A129" t="s">
        <v>32</v>
      </c>
      <c r="B129" t="s">
        <v>13</v>
      </c>
      <c r="C129" t="s">
        <v>10</v>
      </c>
      <c r="D129">
        <v>19213.22</v>
      </c>
      <c r="F129">
        <v>322</v>
      </c>
      <c r="G129" t="s">
        <v>11</v>
      </c>
      <c r="H129">
        <v>29523.91</v>
      </c>
      <c r="I129">
        <v>3713.07</v>
      </c>
    </row>
    <row r="130" spans="1:9" x14ac:dyDescent="0.3">
      <c r="A130" t="s">
        <v>32</v>
      </c>
      <c r="B130" t="s">
        <v>13</v>
      </c>
      <c r="C130" t="s">
        <v>12</v>
      </c>
      <c r="D130">
        <v>14489.42</v>
      </c>
      <c r="F130">
        <v>246</v>
      </c>
      <c r="G130" t="s">
        <v>11</v>
      </c>
      <c r="H130">
        <v>21609.119999999999</v>
      </c>
      <c r="I130">
        <v>4076.71</v>
      </c>
    </row>
    <row r="131" spans="1:9" x14ac:dyDescent="0.3">
      <c r="A131" t="s">
        <v>32</v>
      </c>
      <c r="B131" t="s">
        <v>33</v>
      </c>
      <c r="C131" t="s">
        <v>10</v>
      </c>
      <c r="D131">
        <v>15641.98</v>
      </c>
      <c r="F131">
        <v>215</v>
      </c>
      <c r="G131" t="s">
        <v>11</v>
      </c>
      <c r="H131">
        <v>27499.33</v>
      </c>
      <c r="I131">
        <v>3315.84</v>
      </c>
    </row>
    <row r="132" spans="1:9" x14ac:dyDescent="0.3">
      <c r="A132" t="s">
        <v>32</v>
      </c>
      <c r="B132" t="s">
        <v>33</v>
      </c>
      <c r="C132" t="s">
        <v>12</v>
      </c>
      <c r="D132">
        <v>9781.8700000000008</v>
      </c>
      <c r="F132">
        <v>114</v>
      </c>
      <c r="G132" t="s">
        <v>11</v>
      </c>
      <c r="H132">
        <v>18375.46</v>
      </c>
    </row>
    <row r="133" spans="1:9" x14ac:dyDescent="0.3">
      <c r="A133" t="s">
        <v>32</v>
      </c>
      <c r="B133" t="s">
        <v>20</v>
      </c>
      <c r="C133" t="s">
        <v>10</v>
      </c>
      <c r="D133">
        <v>12627.4</v>
      </c>
      <c r="F133">
        <v>183</v>
      </c>
      <c r="G133" t="s">
        <v>11</v>
      </c>
      <c r="H133">
        <v>18397.52</v>
      </c>
      <c r="I133">
        <v>2728.04</v>
      </c>
    </row>
    <row r="134" spans="1:9" x14ac:dyDescent="0.3">
      <c r="A134" t="s">
        <v>32</v>
      </c>
      <c r="B134" t="s">
        <v>20</v>
      </c>
      <c r="C134" t="s">
        <v>12</v>
      </c>
      <c r="D134">
        <v>8558.4699999999993</v>
      </c>
      <c r="F134">
        <v>141</v>
      </c>
      <c r="G134" t="s">
        <v>11</v>
      </c>
      <c r="H134">
        <v>12543.43</v>
      </c>
      <c r="I134">
        <v>2434.21</v>
      </c>
    </row>
    <row r="135" spans="1:9" x14ac:dyDescent="0.3">
      <c r="A135" t="s">
        <v>32</v>
      </c>
      <c r="B135" t="s">
        <v>24</v>
      </c>
      <c r="C135" t="s">
        <v>10</v>
      </c>
      <c r="D135">
        <v>8056.93</v>
      </c>
      <c r="F135">
        <v>140</v>
      </c>
      <c r="G135" t="s">
        <v>11</v>
      </c>
      <c r="H135">
        <v>22882.91</v>
      </c>
      <c r="I135">
        <v>2747.79</v>
      </c>
    </row>
    <row r="136" spans="1:9" x14ac:dyDescent="0.3">
      <c r="A136" t="s">
        <v>32</v>
      </c>
      <c r="B136" t="s">
        <v>24</v>
      </c>
      <c r="C136" t="s">
        <v>12</v>
      </c>
      <c r="D136">
        <v>5570.37</v>
      </c>
      <c r="F136">
        <v>74</v>
      </c>
      <c r="G136" t="s">
        <v>11</v>
      </c>
      <c r="H136">
        <v>15162.69</v>
      </c>
      <c r="I136">
        <v>2836.19</v>
      </c>
    </row>
    <row r="137" spans="1:9" hidden="1" x14ac:dyDescent="0.3">
      <c r="A137" t="s">
        <v>43</v>
      </c>
      <c r="B137" t="s">
        <v>18</v>
      </c>
      <c r="C137" t="s">
        <v>10</v>
      </c>
      <c r="D137">
        <v>15597.43</v>
      </c>
      <c r="F137">
        <v>180</v>
      </c>
      <c r="G137" t="s">
        <v>11</v>
      </c>
      <c r="H137">
        <v>25701.52</v>
      </c>
      <c r="I137">
        <v>4889.75</v>
      </c>
    </row>
    <row r="138" spans="1:9" hidden="1" x14ac:dyDescent="0.3">
      <c r="A138" t="s">
        <v>43</v>
      </c>
      <c r="B138" t="s">
        <v>18</v>
      </c>
      <c r="C138" t="s">
        <v>12</v>
      </c>
      <c r="D138">
        <v>9990.3700000000008</v>
      </c>
      <c r="F138">
        <v>78</v>
      </c>
      <c r="G138" t="s">
        <v>11</v>
      </c>
      <c r="H138">
        <v>16862.43</v>
      </c>
      <c r="I138">
        <v>3203.34</v>
      </c>
    </row>
    <row r="139" spans="1:9" hidden="1" x14ac:dyDescent="0.3">
      <c r="A139" t="s">
        <v>43</v>
      </c>
      <c r="B139" t="s">
        <v>13</v>
      </c>
      <c r="C139" t="s">
        <v>10</v>
      </c>
      <c r="D139">
        <v>12603.92</v>
      </c>
      <c r="F139">
        <v>191</v>
      </c>
      <c r="G139" t="s">
        <v>11</v>
      </c>
      <c r="H139">
        <v>20647.330000000002</v>
      </c>
      <c r="I139">
        <v>2529.4</v>
      </c>
    </row>
    <row r="140" spans="1:9" hidden="1" x14ac:dyDescent="0.3">
      <c r="A140" t="s">
        <v>43</v>
      </c>
      <c r="B140" t="s">
        <v>13</v>
      </c>
      <c r="C140" t="s">
        <v>12</v>
      </c>
      <c r="D140">
        <v>7015.12</v>
      </c>
      <c r="F140">
        <v>116</v>
      </c>
      <c r="G140" t="s">
        <v>11</v>
      </c>
      <c r="H140">
        <v>11335.29</v>
      </c>
    </row>
    <row r="141" spans="1:9" hidden="1" x14ac:dyDescent="0.3">
      <c r="A141" t="s">
        <v>43</v>
      </c>
      <c r="B141" t="s">
        <v>33</v>
      </c>
      <c r="C141" t="s">
        <v>10</v>
      </c>
      <c r="D141">
        <v>10389.379999999999</v>
      </c>
      <c r="F141">
        <v>175</v>
      </c>
      <c r="G141" t="s">
        <v>11</v>
      </c>
      <c r="H141">
        <v>18307.09</v>
      </c>
      <c r="I141">
        <v>3338.11</v>
      </c>
    </row>
    <row r="142" spans="1:9" hidden="1" x14ac:dyDescent="0.3">
      <c r="A142" t="s">
        <v>43</v>
      </c>
      <c r="B142" t="s">
        <v>33</v>
      </c>
      <c r="C142" t="s">
        <v>12</v>
      </c>
      <c r="D142">
        <v>5390.44</v>
      </c>
      <c r="F142">
        <v>48</v>
      </c>
      <c r="G142" t="s">
        <v>11</v>
      </c>
      <c r="H142">
        <v>10108.15</v>
      </c>
      <c r="I142">
        <v>1587.48</v>
      </c>
    </row>
    <row r="143" spans="1:9" hidden="1" x14ac:dyDescent="0.3">
      <c r="A143" t="s">
        <v>43</v>
      </c>
      <c r="B143" t="s">
        <v>20</v>
      </c>
      <c r="C143" t="s">
        <v>10</v>
      </c>
      <c r="D143">
        <v>9147.3799999999992</v>
      </c>
      <c r="F143">
        <v>74</v>
      </c>
      <c r="G143" t="s">
        <v>11</v>
      </c>
      <c r="H143">
        <v>12939.89</v>
      </c>
      <c r="I143">
        <v>2213.02</v>
      </c>
    </row>
    <row r="144" spans="1:9" hidden="1" x14ac:dyDescent="0.3">
      <c r="A144" t="s">
        <v>43</v>
      </c>
      <c r="B144" t="s">
        <v>20</v>
      </c>
      <c r="C144" t="s">
        <v>12</v>
      </c>
      <c r="D144">
        <v>5436.96</v>
      </c>
      <c r="F144">
        <v>67</v>
      </c>
      <c r="G144" t="s">
        <v>11</v>
      </c>
      <c r="H144">
        <v>7978.19</v>
      </c>
      <c r="I144">
        <v>1255.56</v>
      </c>
    </row>
    <row r="145" spans="1:9" hidden="1" x14ac:dyDescent="0.3">
      <c r="A145" t="s">
        <v>43</v>
      </c>
      <c r="B145" t="s">
        <v>24</v>
      </c>
      <c r="C145" t="s">
        <v>10</v>
      </c>
      <c r="D145">
        <v>4865.1099999999997</v>
      </c>
      <c r="F145">
        <v>75</v>
      </c>
      <c r="G145" t="s">
        <v>11</v>
      </c>
      <c r="H145">
        <v>13927.52</v>
      </c>
      <c r="I145">
        <v>1804.1</v>
      </c>
    </row>
    <row r="146" spans="1:9" hidden="1" x14ac:dyDescent="0.3">
      <c r="A146" t="s">
        <v>43</v>
      </c>
      <c r="B146" t="s">
        <v>24</v>
      </c>
      <c r="C146" t="s">
        <v>12</v>
      </c>
      <c r="D146">
        <v>3170.47</v>
      </c>
      <c r="F146">
        <v>47</v>
      </c>
      <c r="G146" t="s">
        <v>11</v>
      </c>
      <c r="H146">
        <v>9458.16</v>
      </c>
      <c r="I146">
        <v>1823.38</v>
      </c>
    </row>
    <row r="147" spans="1:9" hidden="1" x14ac:dyDescent="0.3">
      <c r="A147" t="s">
        <v>39</v>
      </c>
      <c r="B147" t="s">
        <v>18</v>
      </c>
      <c r="C147" t="s">
        <v>10</v>
      </c>
      <c r="D147">
        <v>18706.41</v>
      </c>
      <c r="F147">
        <v>222</v>
      </c>
      <c r="G147" t="s">
        <v>11</v>
      </c>
      <c r="H147">
        <v>31879.34</v>
      </c>
      <c r="I147">
        <v>5555.51</v>
      </c>
    </row>
    <row r="148" spans="1:9" hidden="1" x14ac:dyDescent="0.3">
      <c r="A148" t="s">
        <v>39</v>
      </c>
      <c r="B148" t="s">
        <v>18</v>
      </c>
      <c r="C148" t="s">
        <v>12</v>
      </c>
      <c r="D148">
        <v>12087.91</v>
      </c>
      <c r="F148">
        <v>113</v>
      </c>
      <c r="G148" t="s">
        <v>11</v>
      </c>
      <c r="H148">
        <v>20964.3</v>
      </c>
      <c r="I148">
        <v>3454.29</v>
      </c>
    </row>
    <row r="149" spans="1:9" hidden="1" x14ac:dyDescent="0.3">
      <c r="A149" t="s">
        <v>39</v>
      </c>
      <c r="B149" t="s">
        <v>13</v>
      </c>
      <c r="C149" t="s">
        <v>10</v>
      </c>
      <c r="D149">
        <v>18013.830000000002</v>
      </c>
      <c r="F149">
        <v>287</v>
      </c>
      <c r="G149" t="s">
        <v>11</v>
      </c>
      <c r="H149">
        <v>27345.64</v>
      </c>
      <c r="I149">
        <v>4611.33</v>
      </c>
    </row>
    <row r="150" spans="1:9" hidden="1" x14ac:dyDescent="0.3">
      <c r="A150" t="s">
        <v>39</v>
      </c>
      <c r="B150" t="s">
        <v>13</v>
      </c>
      <c r="C150" t="s">
        <v>12</v>
      </c>
      <c r="D150">
        <v>10360.64</v>
      </c>
      <c r="F150">
        <v>82</v>
      </c>
      <c r="G150" t="s">
        <v>11</v>
      </c>
      <c r="H150">
        <v>16738.560000000001</v>
      </c>
      <c r="I150">
        <v>2323.9899999999998</v>
      </c>
    </row>
    <row r="151" spans="1:9" hidden="1" x14ac:dyDescent="0.3">
      <c r="A151" t="s">
        <v>39</v>
      </c>
      <c r="B151" t="s">
        <v>33</v>
      </c>
      <c r="C151" t="s">
        <v>10</v>
      </c>
      <c r="D151">
        <v>11374.77</v>
      </c>
      <c r="F151">
        <v>124</v>
      </c>
      <c r="G151" t="s">
        <v>11</v>
      </c>
      <c r="H151">
        <v>21732.37</v>
      </c>
      <c r="I151">
        <v>3277.51</v>
      </c>
    </row>
    <row r="152" spans="1:9" hidden="1" x14ac:dyDescent="0.3">
      <c r="A152" t="s">
        <v>39</v>
      </c>
      <c r="B152" t="s">
        <v>33</v>
      </c>
      <c r="C152" t="s">
        <v>12</v>
      </c>
      <c r="D152">
        <v>6913.66</v>
      </c>
      <c r="F152">
        <v>112</v>
      </c>
      <c r="G152" t="s">
        <v>11</v>
      </c>
      <c r="H152">
        <v>12962.03</v>
      </c>
      <c r="I152">
        <v>2083.38</v>
      </c>
    </row>
    <row r="153" spans="1:9" hidden="1" x14ac:dyDescent="0.3">
      <c r="A153" t="s">
        <v>39</v>
      </c>
      <c r="B153" t="s">
        <v>20</v>
      </c>
      <c r="C153" t="s">
        <v>10</v>
      </c>
      <c r="D153">
        <v>11215.64</v>
      </c>
      <c r="F153">
        <v>120</v>
      </c>
      <c r="G153" t="s">
        <v>11</v>
      </c>
      <c r="H153">
        <v>15478</v>
      </c>
      <c r="I153">
        <v>3041.98</v>
      </c>
    </row>
    <row r="154" spans="1:9" hidden="1" x14ac:dyDescent="0.3">
      <c r="A154" t="s">
        <v>39</v>
      </c>
      <c r="B154" t="s">
        <v>20</v>
      </c>
      <c r="C154" t="s">
        <v>12</v>
      </c>
      <c r="D154">
        <v>6487.26</v>
      </c>
      <c r="F154">
        <v>101</v>
      </c>
      <c r="G154" t="s">
        <v>11</v>
      </c>
      <c r="H154">
        <v>9532.5</v>
      </c>
      <c r="I154">
        <v>1530.64</v>
      </c>
    </row>
    <row r="155" spans="1:9" hidden="1" x14ac:dyDescent="0.3">
      <c r="A155" t="s">
        <v>39</v>
      </c>
      <c r="B155" t="s">
        <v>24</v>
      </c>
      <c r="C155" t="s">
        <v>10</v>
      </c>
      <c r="D155">
        <v>7125.76</v>
      </c>
      <c r="F155">
        <v>99</v>
      </c>
      <c r="G155" t="s">
        <v>11</v>
      </c>
      <c r="H155">
        <v>20062.349999999999</v>
      </c>
      <c r="I155">
        <v>3144.74</v>
      </c>
    </row>
    <row r="156" spans="1:9" hidden="1" x14ac:dyDescent="0.3">
      <c r="A156" t="s">
        <v>39</v>
      </c>
      <c r="B156" t="s">
        <v>24</v>
      </c>
      <c r="C156" t="s">
        <v>12</v>
      </c>
      <c r="D156">
        <v>4037.84</v>
      </c>
      <c r="F156">
        <v>146</v>
      </c>
      <c r="G156" t="s">
        <v>11</v>
      </c>
      <c r="H156">
        <v>12106.62</v>
      </c>
      <c r="I156">
        <v>1897.62</v>
      </c>
    </row>
    <row r="157" spans="1:9" hidden="1" x14ac:dyDescent="0.3">
      <c r="A157" t="s">
        <v>36</v>
      </c>
      <c r="B157" t="s">
        <v>18</v>
      </c>
      <c r="C157" t="s">
        <v>10</v>
      </c>
      <c r="D157">
        <v>22434.19</v>
      </c>
      <c r="F157">
        <v>294</v>
      </c>
      <c r="G157" t="s">
        <v>41</v>
      </c>
      <c r="H157">
        <v>39581.43</v>
      </c>
      <c r="I157">
        <v>5035.18</v>
      </c>
    </row>
    <row r="158" spans="1:9" hidden="1" x14ac:dyDescent="0.3">
      <c r="A158" t="s">
        <v>36</v>
      </c>
      <c r="B158" t="s">
        <v>18</v>
      </c>
      <c r="C158" t="s">
        <v>12</v>
      </c>
      <c r="D158">
        <v>12947.43</v>
      </c>
      <c r="F158">
        <v>271</v>
      </c>
      <c r="G158" t="s">
        <v>41</v>
      </c>
      <c r="H158">
        <v>22612.55</v>
      </c>
      <c r="I158">
        <v>2995.85</v>
      </c>
    </row>
    <row r="159" spans="1:9" hidden="1" x14ac:dyDescent="0.3">
      <c r="A159" t="s">
        <v>36</v>
      </c>
      <c r="B159" t="s">
        <v>13</v>
      </c>
      <c r="C159" t="s">
        <v>10</v>
      </c>
      <c r="D159">
        <v>19256.13</v>
      </c>
      <c r="F159">
        <v>147</v>
      </c>
      <c r="G159" t="s">
        <v>41</v>
      </c>
      <c r="H159">
        <v>30686.09</v>
      </c>
      <c r="I159">
        <v>4923.71</v>
      </c>
    </row>
    <row r="160" spans="1:9" hidden="1" x14ac:dyDescent="0.3">
      <c r="A160" t="s">
        <v>36</v>
      </c>
      <c r="B160" t="s">
        <v>13</v>
      </c>
      <c r="C160" t="s">
        <v>12</v>
      </c>
      <c r="D160">
        <v>12551.46</v>
      </c>
      <c r="F160">
        <v>130</v>
      </c>
      <c r="G160" t="s">
        <v>41</v>
      </c>
      <c r="H160">
        <v>18687.490000000002</v>
      </c>
      <c r="I160">
        <v>3158.01</v>
      </c>
    </row>
    <row r="161" spans="1:9" hidden="1" x14ac:dyDescent="0.3">
      <c r="A161" t="s">
        <v>36</v>
      </c>
      <c r="B161" t="s">
        <v>33</v>
      </c>
      <c r="C161" t="s">
        <v>10</v>
      </c>
      <c r="D161">
        <v>12712</v>
      </c>
      <c r="F161">
        <v>141</v>
      </c>
      <c r="G161" t="s">
        <v>41</v>
      </c>
      <c r="H161">
        <v>24068.73</v>
      </c>
      <c r="I161">
        <v>4192.63</v>
      </c>
    </row>
    <row r="162" spans="1:9" hidden="1" x14ac:dyDescent="0.3">
      <c r="A162" t="s">
        <v>36</v>
      </c>
      <c r="B162" t="s">
        <v>33</v>
      </c>
      <c r="C162" t="s">
        <v>12</v>
      </c>
      <c r="D162">
        <v>7926.98</v>
      </c>
      <c r="F162">
        <v>76</v>
      </c>
      <c r="G162" t="s">
        <v>41</v>
      </c>
      <c r="H162">
        <v>14730.21</v>
      </c>
      <c r="I162">
        <v>2430.8000000000002</v>
      </c>
    </row>
    <row r="163" spans="1:9" hidden="1" x14ac:dyDescent="0.3">
      <c r="A163" t="s">
        <v>36</v>
      </c>
      <c r="B163" t="s">
        <v>20</v>
      </c>
      <c r="C163" t="s">
        <v>10</v>
      </c>
      <c r="D163">
        <v>11915.22</v>
      </c>
      <c r="F163">
        <v>142</v>
      </c>
      <c r="G163" t="s">
        <v>41</v>
      </c>
      <c r="H163">
        <v>16495.66</v>
      </c>
      <c r="I163">
        <v>2589.4899999999998</v>
      </c>
    </row>
    <row r="164" spans="1:9" hidden="1" x14ac:dyDescent="0.3">
      <c r="A164" t="s">
        <v>36</v>
      </c>
      <c r="B164" t="s">
        <v>20</v>
      </c>
      <c r="C164" t="s">
        <v>12</v>
      </c>
      <c r="D164">
        <v>6900.88</v>
      </c>
      <c r="F164">
        <v>66</v>
      </c>
      <c r="G164" t="s">
        <v>41</v>
      </c>
      <c r="H164">
        <v>10283.42</v>
      </c>
      <c r="I164">
        <v>1547.9</v>
      </c>
    </row>
    <row r="165" spans="1:9" hidden="1" x14ac:dyDescent="0.3">
      <c r="A165" t="s">
        <v>36</v>
      </c>
      <c r="B165" t="s">
        <v>24</v>
      </c>
      <c r="C165" t="s">
        <v>10</v>
      </c>
      <c r="D165">
        <v>7462.24</v>
      </c>
      <c r="F165">
        <v>106</v>
      </c>
      <c r="G165" t="s">
        <v>41</v>
      </c>
      <c r="H165">
        <v>21759.66</v>
      </c>
      <c r="I165">
        <v>2796.27</v>
      </c>
    </row>
    <row r="166" spans="1:9" hidden="1" x14ac:dyDescent="0.3">
      <c r="A166" t="s">
        <v>36</v>
      </c>
      <c r="B166" t="s">
        <v>24</v>
      </c>
      <c r="C166" t="s">
        <v>12</v>
      </c>
      <c r="D166">
        <v>4633.1499999999996</v>
      </c>
      <c r="F166">
        <v>142</v>
      </c>
      <c r="G166" t="s">
        <v>41</v>
      </c>
      <c r="H166">
        <v>12818.11</v>
      </c>
      <c r="I166">
        <v>2490.44</v>
      </c>
    </row>
    <row r="167" spans="1:9" x14ac:dyDescent="0.3">
      <c r="A167" t="s">
        <v>32</v>
      </c>
      <c r="B167" t="s">
        <v>18</v>
      </c>
      <c r="C167" t="s">
        <v>10</v>
      </c>
      <c r="D167">
        <v>26366.5</v>
      </c>
      <c r="F167">
        <v>284</v>
      </c>
      <c r="G167" t="s">
        <v>41</v>
      </c>
      <c r="H167">
        <v>46244.59</v>
      </c>
      <c r="I167">
        <v>7146.61</v>
      </c>
    </row>
    <row r="168" spans="1:9" x14ac:dyDescent="0.3">
      <c r="A168" t="s">
        <v>32</v>
      </c>
      <c r="B168" t="s">
        <v>18</v>
      </c>
      <c r="C168" t="s">
        <v>12</v>
      </c>
      <c r="D168">
        <v>14285.36</v>
      </c>
      <c r="F168">
        <v>171</v>
      </c>
      <c r="G168" t="s">
        <v>41</v>
      </c>
      <c r="H168">
        <v>25311.63</v>
      </c>
      <c r="I168">
        <v>3863.66</v>
      </c>
    </row>
    <row r="169" spans="1:9" x14ac:dyDescent="0.3">
      <c r="A169" t="s">
        <v>32</v>
      </c>
      <c r="B169" t="s">
        <v>13</v>
      </c>
      <c r="C169" t="s">
        <v>10</v>
      </c>
      <c r="D169">
        <v>18909.419999999998</v>
      </c>
      <c r="F169">
        <v>193</v>
      </c>
      <c r="G169" t="s">
        <v>41</v>
      </c>
      <c r="H169">
        <v>29502.2</v>
      </c>
      <c r="I169">
        <v>4044.86</v>
      </c>
    </row>
    <row r="170" spans="1:9" x14ac:dyDescent="0.3">
      <c r="A170" t="s">
        <v>32</v>
      </c>
      <c r="B170" t="s">
        <v>13</v>
      </c>
      <c r="C170" t="s">
        <v>12</v>
      </c>
      <c r="D170">
        <v>13911.98</v>
      </c>
      <c r="F170">
        <v>102</v>
      </c>
      <c r="G170" t="s">
        <v>41</v>
      </c>
      <c r="H170">
        <v>21669.27</v>
      </c>
      <c r="I170">
        <v>3769.56</v>
      </c>
    </row>
    <row r="171" spans="1:9" x14ac:dyDescent="0.3">
      <c r="A171" t="s">
        <v>32</v>
      </c>
      <c r="B171" t="s">
        <v>33</v>
      </c>
      <c r="C171" t="s">
        <v>10</v>
      </c>
      <c r="D171">
        <v>14901.24</v>
      </c>
      <c r="F171">
        <v>180</v>
      </c>
      <c r="G171" t="s">
        <v>41</v>
      </c>
      <c r="H171">
        <v>27967</v>
      </c>
      <c r="I171">
        <v>3525.36</v>
      </c>
    </row>
    <row r="172" spans="1:9" x14ac:dyDescent="0.3">
      <c r="A172" t="s">
        <v>32</v>
      </c>
      <c r="B172" t="s">
        <v>33</v>
      </c>
      <c r="C172" t="s">
        <v>12</v>
      </c>
      <c r="D172">
        <v>9013.58</v>
      </c>
      <c r="F172">
        <v>89</v>
      </c>
      <c r="G172" t="s">
        <v>41</v>
      </c>
      <c r="H172">
        <v>16582.47</v>
      </c>
      <c r="I172">
        <v>3103.25</v>
      </c>
    </row>
    <row r="173" spans="1:9" x14ac:dyDescent="0.3">
      <c r="A173" t="s">
        <v>32</v>
      </c>
      <c r="B173" t="s">
        <v>20</v>
      </c>
      <c r="C173" t="s">
        <v>10</v>
      </c>
      <c r="D173">
        <v>13535.69</v>
      </c>
      <c r="F173">
        <v>128</v>
      </c>
      <c r="G173" t="s">
        <v>41</v>
      </c>
      <c r="H173">
        <v>20286.259999999998</v>
      </c>
      <c r="I173">
        <v>2755.56</v>
      </c>
    </row>
    <row r="174" spans="1:9" x14ac:dyDescent="0.3">
      <c r="A174" t="s">
        <v>32</v>
      </c>
      <c r="B174" t="s">
        <v>20</v>
      </c>
      <c r="C174" t="s">
        <v>12</v>
      </c>
      <c r="D174">
        <v>8329.7000000000007</v>
      </c>
      <c r="F174">
        <v>106</v>
      </c>
      <c r="G174" t="s">
        <v>41</v>
      </c>
      <c r="H174">
        <v>11446.36</v>
      </c>
      <c r="I174">
        <v>1865.02</v>
      </c>
    </row>
    <row r="175" spans="1:9" x14ac:dyDescent="0.3">
      <c r="A175" t="s">
        <v>32</v>
      </c>
      <c r="B175" t="s">
        <v>24</v>
      </c>
      <c r="C175" t="s">
        <v>10</v>
      </c>
      <c r="D175">
        <v>8773.49</v>
      </c>
      <c r="F175">
        <v>130</v>
      </c>
      <c r="G175" t="s">
        <v>41</v>
      </c>
      <c r="H175">
        <v>24759.49</v>
      </c>
      <c r="I175">
        <v>3745.1</v>
      </c>
    </row>
    <row r="176" spans="1:9" x14ac:dyDescent="0.3">
      <c r="A176" t="s">
        <v>32</v>
      </c>
      <c r="B176" t="s">
        <v>24</v>
      </c>
      <c r="C176" t="s">
        <v>12</v>
      </c>
      <c r="D176">
        <v>5104.57</v>
      </c>
      <c r="F176">
        <v>93</v>
      </c>
      <c r="G176" t="s">
        <v>41</v>
      </c>
      <c r="H176">
        <v>14127.09</v>
      </c>
      <c r="I176">
        <v>2789.03</v>
      </c>
    </row>
    <row r="177" spans="1:9" hidden="1" x14ac:dyDescent="0.3">
      <c r="A177" t="s">
        <v>43</v>
      </c>
      <c r="B177" t="s">
        <v>18</v>
      </c>
      <c r="C177" t="s">
        <v>10</v>
      </c>
      <c r="D177">
        <v>16527.740000000002</v>
      </c>
      <c r="F177">
        <v>155</v>
      </c>
      <c r="G177" t="s">
        <v>41</v>
      </c>
      <c r="H177">
        <v>28601.42</v>
      </c>
      <c r="I177">
        <v>5383.66</v>
      </c>
    </row>
    <row r="178" spans="1:9" hidden="1" x14ac:dyDescent="0.3">
      <c r="A178" t="s">
        <v>43</v>
      </c>
      <c r="B178" t="s">
        <v>18</v>
      </c>
      <c r="C178" t="s">
        <v>12</v>
      </c>
      <c r="D178">
        <v>9455.39</v>
      </c>
      <c r="F178">
        <v>150</v>
      </c>
      <c r="G178" t="s">
        <v>41</v>
      </c>
      <c r="H178">
        <v>16087.21</v>
      </c>
      <c r="I178">
        <v>2353.3000000000002</v>
      </c>
    </row>
    <row r="179" spans="1:9" hidden="1" x14ac:dyDescent="0.3">
      <c r="A179" t="s">
        <v>43</v>
      </c>
      <c r="B179" t="s">
        <v>13</v>
      </c>
      <c r="C179" t="s">
        <v>10</v>
      </c>
      <c r="D179">
        <v>12793.16</v>
      </c>
      <c r="F179">
        <v>100</v>
      </c>
      <c r="G179" t="s">
        <v>41</v>
      </c>
      <c r="H179">
        <v>20198.61</v>
      </c>
      <c r="I179">
        <v>2749.76</v>
      </c>
    </row>
    <row r="180" spans="1:9" hidden="1" x14ac:dyDescent="0.3">
      <c r="A180" t="s">
        <v>43</v>
      </c>
      <c r="B180" t="s">
        <v>13</v>
      </c>
      <c r="C180" t="s">
        <v>12</v>
      </c>
      <c r="D180">
        <v>7609.03</v>
      </c>
      <c r="F180">
        <v>79</v>
      </c>
      <c r="G180" t="s">
        <v>41</v>
      </c>
      <c r="H180">
        <v>11565.71</v>
      </c>
      <c r="I180">
        <v>1693.43</v>
      </c>
    </row>
    <row r="181" spans="1:9" hidden="1" x14ac:dyDescent="0.3">
      <c r="A181" t="s">
        <v>43</v>
      </c>
      <c r="B181" t="s">
        <v>33</v>
      </c>
      <c r="C181" t="s">
        <v>10</v>
      </c>
      <c r="D181">
        <v>10775.3</v>
      </c>
      <c r="F181">
        <v>211</v>
      </c>
      <c r="G181" t="s">
        <v>41</v>
      </c>
      <c r="H181">
        <v>18660.62</v>
      </c>
      <c r="I181">
        <v>3686.94</v>
      </c>
    </row>
    <row r="182" spans="1:9" hidden="1" x14ac:dyDescent="0.3">
      <c r="A182" t="s">
        <v>43</v>
      </c>
      <c r="B182" t="s">
        <v>33</v>
      </c>
      <c r="C182" t="s">
        <v>12</v>
      </c>
      <c r="D182">
        <v>6158.71</v>
      </c>
      <c r="F182">
        <v>115</v>
      </c>
      <c r="G182" t="s">
        <v>41</v>
      </c>
      <c r="H182">
        <v>11480.04</v>
      </c>
      <c r="I182">
        <v>2219.89</v>
      </c>
    </row>
    <row r="183" spans="1:9" hidden="1" x14ac:dyDescent="0.3">
      <c r="A183" t="s">
        <v>43</v>
      </c>
      <c r="B183" t="s">
        <v>20</v>
      </c>
      <c r="C183" t="s">
        <v>10</v>
      </c>
      <c r="D183">
        <v>8204.66</v>
      </c>
      <c r="F183">
        <v>60</v>
      </c>
      <c r="G183" t="s">
        <v>41</v>
      </c>
      <c r="H183">
        <v>12085.06</v>
      </c>
      <c r="I183">
        <v>1878.12</v>
      </c>
    </row>
    <row r="184" spans="1:9" hidden="1" x14ac:dyDescent="0.3">
      <c r="A184" t="s">
        <v>43</v>
      </c>
      <c r="B184" t="s">
        <v>20</v>
      </c>
      <c r="C184" t="s">
        <v>12</v>
      </c>
      <c r="D184">
        <v>5995.44</v>
      </c>
      <c r="F184">
        <v>47</v>
      </c>
      <c r="G184" t="s">
        <v>41</v>
      </c>
      <c r="H184">
        <v>8212.11</v>
      </c>
      <c r="I184">
        <v>1517.8</v>
      </c>
    </row>
    <row r="185" spans="1:9" hidden="1" x14ac:dyDescent="0.3">
      <c r="A185" t="s">
        <v>43</v>
      </c>
      <c r="B185" t="s">
        <v>24</v>
      </c>
      <c r="C185" t="s">
        <v>10</v>
      </c>
      <c r="D185">
        <v>4992.8900000000003</v>
      </c>
      <c r="F185">
        <v>91</v>
      </c>
      <c r="G185" t="s">
        <v>41</v>
      </c>
      <c r="H185">
        <v>13857.82</v>
      </c>
      <c r="I185">
        <v>1810.1</v>
      </c>
    </row>
    <row r="186" spans="1:9" hidden="1" x14ac:dyDescent="0.3">
      <c r="A186" t="s">
        <v>43</v>
      </c>
      <c r="B186" t="s">
        <v>24</v>
      </c>
      <c r="C186" t="s">
        <v>12</v>
      </c>
      <c r="D186">
        <v>3692.29</v>
      </c>
      <c r="F186">
        <v>51</v>
      </c>
      <c r="G186" t="s">
        <v>41</v>
      </c>
      <c r="H186">
        <v>10261.120000000001</v>
      </c>
      <c r="I186">
        <v>1821.58</v>
      </c>
    </row>
    <row r="187" spans="1:9" hidden="1" x14ac:dyDescent="0.3">
      <c r="A187" t="s">
        <v>39</v>
      </c>
      <c r="B187" t="s">
        <v>18</v>
      </c>
      <c r="C187" t="s">
        <v>10</v>
      </c>
      <c r="D187">
        <v>20082.48</v>
      </c>
      <c r="F187">
        <v>191</v>
      </c>
      <c r="G187" t="s">
        <v>41</v>
      </c>
      <c r="H187">
        <v>35828.400000000001</v>
      </c>
      <c r="I187">
        <v>6883.35</v>
      </c>
    </row>
    <row r="188" spans="1:9" hidden="1" x14ac:dyDescent="0.3">
      <c r="A188" t="s">
        <v>39</v>
      </c>
      <c r="B188" t="s">
        <v>18</v>
      </c>
      <c r="C188" t="s">
        <v>12</v>
      </c>
      <c r="D188">
        <v>12318.76</v>
      </c>
      <c r="F188">
        <v>105</v>
      </c>
      <c r="G188" t="s">
        <v>41</v>
      </c>
      <c r="H188">
        <v>21613.17</v>
      </c>
      <c r="I188">
        <v>4213.4399999999996</v>
      </c>
    </row>
    <row r="189" spans="1:9" hidden="1" x14ac:dyDescent="0.3">
      <c r="A189" t="s">
        <v>39</v>
      </c>
      <c r="B189" t="s">
        <v>13</v>
      </c>
      <c r="C189" t="s">
        <v>10</v>
      </c>
      <c r="D189">
        <v>14567.23</v>
      </c>
      <c r="F189">
        <v>117</v>
      </c>
      <c r="G189" t="s">
        <v>41</v>
      </c>
      <c r="H189">
        <v>23716.78</v>
      </c>
      <c r="I189">
        <v>3005.71</v>
      </c>
    </row>
    <row r="190" spans="1:9" hidden="1" x14ac:dyDescent="0.3">
      <c r="A190" t="s">
        <v>39</v>
      </c>
      <c r="B190" t="s">
        <v>13</v>
      </c>
      <c r="C190" t="s">
        <v>12</v>
      </c>
      <c r="D190">
        <v>9936.51</v>
      </c>
      <c r="F190">
        <v>81</v>
      </c>
      <c r="G190" t="s">
        <v>41</v>
      </c>
      <c r="H190">
        <v>14967.4</v>
      </c>
      <c r="I190">
        <v>2062.9899999999998</v>
      </c>
    </row>
    <row r="191" spans="1:9" hidden="1" x14ac:dyDescent="0.3">
      <c r="A191" t="s">
        <v>39</v>
      </c>
      <c r="B191" t="s">
        <v>33</v>
      </c>
      <c r="C191" t="s">
        <v>10</v>
      </c>
      <c r="D191">
        <v>12050.68</v>
      </c>
      <c r="F191">
        <v>156</v>
      </c>
      <c r="G191" t="s">
        <v>41</v>
      </c>
      <c r="H191">
        <v>21889.86</v>
      </c>
      <c r="I191">
        <v>4174.3999999999996</v>
      </c>
    </row>
    <row r="192" spans="1:9" hidden="1" x14ac:dyDescent="0.3">
      <c r="A192" t="s">
        <v>39</v>
      </c>
      <c r="B192" t="s">
        <v>33</v>
      </c>
      <c r="C192" t="s">
        <v>12</v>
      </c>
      <c r="D192">
        <v>7927.82</v>
      </c>
      <c r="F192">
        <v>84</v>
      </c>
      <c r="G192" t="s">
        <v>41</v>
      </c>
      <c r="H192">
        <v>14427.69</v>
      </c>
      <c r="I192">
        <v>1947.13</v>
      </c>
    </row>
    <row r="193" spans="1:9" hidden="1" x14ac:dyDescent="0.3">
      <c r="A193" t="s">
        <v>39</v>
      </c>
      <c r="B193" t="s">
        <v>20</v>
      </c>
      <c r="C193" t="s">
        <v>10</v>
      </c>
      <c r="D193">
        <v>11528.58</v>
      </c>
      <c r="F193">
        <v>103</v>
      </c>
      <c r="G193" t="s">
        <v>41</v>
      </c>
      <c r="H193">
        <v>17117.97</v>
      </c>
      <c r="I193">
        <v>2073.79</v>
      </c>
    </row>
    <row r="194" spans="1:9" hidden="1" x14ac:dyDescent="0.3">
      <c r="A194" t="s">
        <v>39</v>
      </c>
      <c r="B194" t="s">
        <v>20</v>
      </c>
      <c r="C194" t="s">
        <v>12</v>
      </c>
      <c r="D194">
        <v>7016.45</v>
      </c>
      <c r="F194">
        <v>59</v>
      </c>
      <c r="G194" t="s">
        <v>41</v>
      </c>
      <c r="H194">
        <v>9998.0300000000007</v>
      </c>
      <c r="I194">
        <v>1910.27</v>
      </c>
    </row>
    <row r="195" spans="1:9" hidden="1" x14ac:dyDescent="0.3">
      <c r="A195" t="s">
        <v>39</v>
      </c>
      <c r="B195" t="s">
        <v>24</v>
      </c>
      <c r="C195" t="s">
        <v>10</v>
      </c>
      <c r="D195">
        <v>6698.38</v>
      </c>
      <c r="F195">
        <v>99</v>
      </c>
      <c r="G195" t="s">
        <v>41</v>
      </c>
      <c r="H195">
        <v>18941.09</v>
      </c>
    </row>
    <row r="196" spans="1:9" hidden="1" x14ac:dyDescent="0.3">
      <c r="A196" t="s">
        <v>39</v>
      </c>
      <c r="B196" t="s">
        <v>24</v>
      </c>
      <c r="C196" t="s">
        <v>12</v>
      </c>
      <c r="D196">
        <v>4416.2700000000004</v>
      </c>
      <c r="F196">
        <v>112</v>
      </c>
      <c r="G196" t="s">
        <v>41</v>
      </c>
      <c r="H196">
        <v>12824.03</v>
      </c>
      <c r="I196">
        <v>1799.04</v>
      </c>
    </row>
    <row r="197" spans="1:9" hidden="1" x14ac:dyDescent="0.3">
      <c r="A197" t="s">
        <v>36</v>
      </c>
      <c r="B197" t="s">
        <v>18</v>
      </c>
      <c r="C197" t="s">
        <v>10</v>
      </c>
      <c r="D197">
        <v>20047.63</v>
      </c>
      <c r="E197">
        <v>6825.29</v>
      </c>
      <c r="F197">
        <v>275</v>
      </c>
      <c r="G197" t="s">
        <v>37</v>
      </c>
      <c r="H197">
        <v>35174.69</v>
      </c>
      <c r="I197">
        <v>6825.29</v>
      </c>
    </row>
    <row r="198" spans="1:9" hidden="1" x14ac:dyDescent="0.3">
      <c r="A198" t="s">
        <v>36</v>
      </c>
      <c r="B198" t="s">
        <v>18</v>
      </c>
      <c r="C198" t="s">
        <v>12</v>
      </c>
      <c r="D198">
        <v>15264.99</v>
      </c>
      <c r="F198">
        <v>155</v>
      </c>
      <c r="G198" t="s">
        <v>37</v>
      </c>
      <c r="H198">
        <v>25177.42</v>
      </c>
    </row>
    <row r="199" spans="1:9" hidden="1" x14ac:dyDescent="0.3">
      <c r="A199" t="s">
        <v>36</v>
      </c>
      <c r="B199" t="s">
        <v>13</v>
      </c>
      <c r="C199" t="s">
        <v>10</v>
      </c>
      <c r="D199">
        <v>19812.560000000001</v>
      </c>
      <c r="E199">
        <v>5502.52</v>
      </c>
      <c r="F199">
        <v>290</v>
      </c>
      <c r="G199" t="s">
        <v>37</v>
      </c>
      <c r="H199">
        <v>31120.5</v>
      </c>
      <c r="I199">
        <v>5502.52</v>
      </c>
    </row>
    <row r="200" spans="1:9" hidden="1" x14ac:dyDescent="0.3">
      <c r="A200" t="s">
        <v>36</v>
      </c>
      <c r="B200" t="s">
        <v>13</v>
      </c>
      <c r="C200" t="s">
        <v>12</v>
      </c>
      <c r="D200">
        <v>12056.01</v>
      </c>
      <c r="E200">
        <v>3585.3</v>
      </c>
      <c r="F200">
        <v>165</v>
      </c>
      <c r="G200" t="s">
        <v>37</v>
      </c>
      <c r="H200">
        <v>18687.54</v>
      </c>
      <c r="I200">
        <v>3585.3</v>
      </c>
    </row>
    <row r="201" spans="1:9" hidden="1" x14ac:dyDescent="0.3">
      <c r="A201" t="s">
        <v>36</v>
      </c>
      <c r="B201" t="s">
        <v>33</v>
      </c>
      <c r="C201" t="s">
        <v>10</v>
      </c>
      <c r="D201">
        <v>11786.51</v>
      </c>
      <c r="E201">
        <v>3773.29</v>
      </c>
      <c r="F201">
        <v>135</v>
      </c>
      <c r="G201" t="s">
        <v>37</v>
      </c>
      <c r="H201">
        <v>22364.78</v>
      </c>
      <c r="I201">
        <v>3773.29</v>
      </c>
    </row>
    <row r="202" spans="1:9" hidden="1" x14ac:dyDescent="0.3">
      <c r="A202" t="s">
        <v>36</v>
      </c>
      <c r="B202" t="s">
        <v>33</v>
      </c>
      <c r="C202" t="s">
        <v>12</v>
      </c>
      <c r="D202">
        <v>8028.48</v>
      </c>
      <c r="E202">
        <v>2869.67</v>
      </c>
      <c r="F202">
        <v>74</v>
      </c>
      <c r="G202" t="s">
        <v>37</v>
      </c>
      <c r="H202">
        <v>14538.42</v>
      </c>
      <c r="I202">
        <v>2869.67</v>
      </c>
    </row>
    <row r="203" spans="1:9" hidden="1" x14ac:dyDescent="0.3">
      <c r="A203" t="s">
        <v>36</v>
      </c>
      <c r="B203" t="s">
        <v>20</v>
      </c>
      <c r="C203" t="s">
        <v>10</v>
      </c>
      <c r="D203">
        <v>13060.48</v>
      </c>
      <c r="E203">
        <v>2645.26</v>
      </c>
      <c r="F203">
        <v>173</v>
      </c>
      <c r="G203" t="s">
        <v>37</v>
      </c>
      <c r="H203">
        <v>18831.580000000002</v>
      </c>
      <c r="I203">
        <v>2645.26</v>
      </c>
    </row>
    <row r="204" spans="1:9" hidden="1" x14ac:dyDescent="0.3">
      <c r="A204" t="s">
        <v>36</v>
      </c>
      <c r="B204" t="s">
        <v>20</v>
      </c>
      <c r="C204" t="s">
        <v>12</v>
      </c>
      <c r="D204">
        <v>7995.8</v>
      </c>
      <c r="E204">
        <v>2183.06</v>
      </c>
      <c r="F204">
        <v>60</v>
      </c>
      <c r="G204" t="s">
        <v>37</v>
      </c>
      <c r="H204">
        <v>11598.13</v>
      </c>
      <c r="I204">
        <v>2183.06</v>
      </c>
    </row>
    <row r="205" spans="1:9" hidden="1" x14ac:dyDescent="0.3">
      <c r="A205" t="s">
        <v>36</v>
      </c>
      <c r="B205" t="s">
        <v>24</v>
      </c>
      <c r="C205" t="s">
        <v>10</v>
      </c>
      <c r="D205">
        <v>8075.86</v>
      </c>
      <c r="E205">
        <v>3439.87</v>
      </c>
      <c r="F205">
        <v>142</v>
      </c>
      <c r="G205" t="s">
        <v>37</v>
      </c>
      <c r="H205">
        <v>22956.400000000001</v>
      </c>
      <c r="I205">
        <v>3439.87</v>
      </c>
    </row>
    <row r="206" spans="1:9" hidden="1" x14ac:dyDescent="0.3">
      <c r="A206" t="s">
        <v>36</v>
      </c>
      <c r="B206" t="s">
        <v>24</v>
      </c>
      <c r="C206" t="s">
        <v>12</v>
      </c>
      <c r="D206">
        <v>4870.57</v>
      </c>
      <c r="E206">
        <v>2305.17</v>
      </c>
      <c r="F206">
        <v>116</v>
      </c>
      <c r="G206" t="s">
        <v>37</v>
      </c>
      <c r="H206">
        <v>14251.75</v>
      </c>
      <c r="I206">
        <v>2305.17</v>
      </c>
    </row>
    <row r="207" spans="1:9" x14ac:dyDescent="0.3">
      <c r="A207" t="s">
        <v>32</v>
      </c>
      <c r="B207" t="s">
        <v>18</v>
      </c>
      <c r="C207" t="s">
        <v>10</v>
      </c>
      <c r="D207">
        <v>22242.69</v>
      </c>
      <c r="E207">
        <v>7889.7</v>
      </c>
      <c r="F207">
        <v>230</v>
      </c>
      <c r="G207" t="s">
        <v>37</v>
      </c>
      <c r="H207">
        <v>40156.15</v>
      </c>
      <c r="I207">
        <v>7889.7</v>
      </c>
    </row>
    <row r="208" spans="1:9" x14ac:dyDescent="0.3">
      <c r="A208" t="s">
        <v>32</v>
      </c>
      <c r="B208" t="s">
        <v>18</v>
      </c>
      <c r="C208" t="s">
        <v>12</v>
      </c>
      <c r="D208">
        <v>16277.85</v>
      </c>
      <c r="E208">
        <v>3910.92</v>
      </c>
      <c r="F208">
        <v>311</v>
      </c>
      <c r="G208" t="s">
        <v>37</v>
      </c>
      <c r="H208">
        <v>29166.49</v>
      </c>
      <c r="I208">
        <v>3910.92</v>
      </c>
    </row>
    <row r="209" spans="1:9" x14ac:dyDescent="0.3">
      <c r="A209" t="s">
        <v>32</v>
      </c>
      <c r="B209" t="s">
        <v>13</v>
      </c>
      <c r="C209" t="s">
        <v>10</v>
      </c>
      <c r="D209">
        <v>18671.400000000001</v>
      </c>
      <c r="E209">
        <v>4772.2299999999996</v>
      </c>
      <c r="F209">
        <v>147</v>
      </c>
      <c r="G209" t="s">
        <v>37</v>
      </c>
      <c r="H209">
        <v>29192.560000000001</v>
      </c>
      <c r="I209">
        <v>4772.2299999999996</v>
      </c>
    </row>
    <row r="210" spans="1:9" x14ac:dyDescent="0.3">
      <c r="A210" t="s">
        <v>32</v>
      </c>
      <c r="B210" t="s">
        <v>13</v>
      </c>
      <c r="C210" t="s">
        <v>12</v>
      </c>
      <c r="D210">
        <v>12449.38</v>
      </c>
      <c r="E210">
        <v>3249.96</v>
      </c>
      <c r="F210">
        <v>170</v>
      </c>
      <c r="G210" t="s">
        <v>37</v>
      </c>
      <c r="H210">
        <v>19408.57</v>
      </c>
      <c r="I210">
        <v>3249.96</v>
      </c>
    </row>
    <row r="211" spans="1:9" x14ac:dyDescent="0.3">
      <c r="A211" t="s">
        <v>32</v>
      </c>
      <c r="B211" t="s">
        <v>33</v>
      </c>
      <c r="C211" t="s">
        <v>10</v>
      </c>
      <c r="D211">
        <v>15820.38</v>
      </c>
      <c r="E211">
        <v>3876.86</v>
      </c>
      <c r="F211">
        <v>287</v>
      </c>
      <c r="G211" t="s">
        <v>37</v>
      </c>
      <c r="H211">
        <v>29900.86</v>
      </c>
      <c r="I211">
        <v>3876.86</v>
      </c>
    </row>
    <row r="212" spans="1:9" x14ac:dyDescent="0.3">
      <c r="A212" t="s">
        <v>32</v>
      </c>
      <c r="B212" t="s">
        <v>33</v>
      </c>
      <c r="C212" t="s">
        <v>12</v>
      </c>
      <c r="D212">
        <v>9463.94</v>
      </c>
      <c r="E212">
        <v>2974.99</v>
      </c>
      <c r="F212">
        <v>90</v>
      </c>
      <c r="G212" t="s">
        <v>37</v>
      </c>
      <c r="H212">
        <v>18101.88</v>
      </c>
      <c r="I212">
        <v>2974.99</v>
      </c>
    </row>
    <row r="213" spans="1:9" x14ac:dyDescent="0.3">
      <c r="A213" t="s">
        <v>32</v>
      </c>
      <c r="B213" t="s">
        <v>20</v>
      </c>
      <c r="C213" t="s">
        <v>10</v>
      </c>
      <c r="D213">
        <v>12459.73</v>
      </c>
      <c r="E213">
        <v>3320.61</v>
      </c>
      <c r="F213">
        <v>85</v>
      </c>
      <c r="G213" t="s">
        <v>37</v>
      </c>
      <c r="H213">
        <v>18377.54</v>
      </c>
      <c r="I213">
        <v>3320.61</v>
      </c>
    </row>
    <row r="214" spans="1:9" x14ac:dyDescent="0.3">
      <c r="A214" t="s">
        <v>32</v>
      </c>
      <c r="B214" t="s">
        <v>20</v>
      </c>
      <c r="C214" t="s">
        <v>12</v>
      </c>
      <c r="D214">
        <v>7916.91</v>
      </c>
      <c r="E214">
        <v>1926.6</v>
      </c>
      <c r="F214">
        <v>82</v>
      </c>
      <c r="G214" t="s">
        <v>37</v>
      </c>
      <c r="H214">
        <v>11274.99</v>
      </c>
      <c r="I214">
        <v>1926.6</v>
      </c>
    </row>
    <row r="215" spans="1:9" x14ac:dyDescent="0.3">
      <c r="A215" t="s">
        <v>32</v>
      </c>
      <c r="B215" t="s">
        <v>24</v>
      </c>
      <c r="C215" t="s">
        <v>10</v>
      </c>
      <c r="D215">
        <v>8330.93</v>
      </c>
      <c r="E215">
        <v>4594.9399999999996</v>
      </c>
      <c r="F215">
        <v>261</v>
      </c>
      <c r="G215" t="s">
        <v>37</v>
      </c>
      <c r="H215">
        <v>24082.47</v>
      </c>
      <c r="I215">
        <v>4594.9399999999996</v>
      </c>
    </row>
    <row r="216" spans="1:9" x14ac:dyDescent="0.3">
      <c r="A216" t="s">
        <v>32</v>
      </c>
      <c r="B216" t="s">
        <v>24</v>
      </c>
      <c r="C216" t="s">
        <v>12</v>
      </c>
      <c r="D216">
        <v>5587.37</v>
      </c>
      <c r="E216">
        <v>2628.86</v>
      </c>
      <c r="F216">
        <v>168</v>
      </c>
      <c r="G216" t="s">
        <v>37</v>
      </c>
      <c r="H216">
        <v>15965.31</v>
      </c>
      <c r="I216">
        <v>2628.86</v>
      </c>
    </row>
    <row r="217" spans="1:9" hidden="1" x14ac:dyDescent="0.3">
      <c r="A217" t="s">
        <v>43</v>
      </c>
      <c r="B217" t="s">
        <v>18</v>
      </c>
      <c r="C217" t="s">
        <v>10</v>
      </c>
      <c r="D217">
        <v>14964.98</v>
      </c>
      <c r="E217">
        <v>4129.92</v>
      </c>
      <c r="F217">
        <v>195</v>
      </c>
      <c r="G217" t="s">
        <v>37</v>
      </c>
      <c r="H217">
        <v>26064.53</v>
      </c>
      <c r="I217">
        <v>4129.92</v>
      </c>
    </row>
    <row r="218" spans="1:9" hidden="1" x14ac:dyDescent="0.3">
      <c r="A218" t="s">
        <v>43</v>
      </c>
      <c r="B218" t="s">
        <v>18</v>
      </c>
      <c r="C218" t="s">
        <v>12</v>
      </c>
      <c r="D218">
        <v>10192.92</v>
      </c>
      <c r="E218">
        <v>2877.3</v>
      </c>
      <c r="F218">
        <v>187</v>
      </c>
      <c r="G218" t="s">
        <v>37</v>
      </c>
      <c r="H218">
        <v>18139.509999999998</v>
      </c>
      <c r="I218">
        <v>2877.3</v>
      </c>
    </row>
    <row r="219" spans="1:9" hidden="1" x14ac:dyDescent="0.3">
      <c r="A219" t="s">
        <v>43</v>
      </c>
      <c r="B219" t="s">
        <v>13</v>
      </c>
      <c r="C219" t="s">
        <v>10</v>
      </c>
      <c r="D219">
        <v>13209.28</v>
      </c>
      <c r="E219">
        <v>2645.84</v>
      </c>
      <c r="F219">
        <v>96</v>
      </c>
      <c r="G219" t="s">
        <v>37</v>
      </c>
      <c r="H219">
        <v>19812.61</v>
      </c>
      <c r="I219">
        <v>2645.84</v>
      </c>
    </row>
    <row r="220" spans="1:9" hidden="1" x14ac:dyDescent="0.3">
      <c r="A220" t="s">
        <v>43</v>
      </c>
      <c r="B220" t="s">
        <v>33</v>
      </c>
      <c r="C220" t="s">
        <v>10</v>
      </c>
      <c r="D220">
        <v>9839.36</v>
      </c>
      <c r="E220">
        <v>2287.34</v>
      </c>
      <c r="F220">
        <v>104</v>
      </c>
      <c r="G220" t="s">
        <v>37</v>
      </c>
      <c r="H220">
        <v>17611.189999999999</v>
      </c>
      <c r="I220">
        <v>2287.34</v>
      </c>
    </row>
    <row r="221" spans="1:9" hidden="1" x14ac:dyDescent="0.3">
      <c r="A221" t="s">
        <v>43</v>
      </c>
      <c r="B221" t="s">
        <v>20</v>
      </c>
      <c r="C221" t="s">
        <v>10</v>
      </c>
      <c r="D221">
        <v>7491.81</v>
      </c>
      <c r="E221">
        <v>1680.38</v>
      </c>
      <c r="F221">
        <v>124</v>
      </c>
      <c r="G221" t="s">
        <v>37</v>
      </c>
      <c r="H221">
        <v>11062.28</v>
      </c>
      <c r="I221">
        <v>1680.38</v>
      </c>
    </row>
    <row r="222" spans="1:9" hidden="1" x14ac:dyDescent="0.3">
      <c r="A222" t="s">
        <v>43</v>
      </c>
      <c r="B222" t="s">
        <v>20</v>
      </c>
      <c r="C222" t="s">
        <v>12</v>
      </c>
      <c r="D222">
        <v>5559.03</v>
      </c>
      <c r="E222">
        <v>1405.22</v>
      </c>
      <c r="F222">
        <v>38</v>
      </c>
      <c r="G222" t="s">
        <v>37</v>
      </c>
      <c r="H222">
        <v>7814.94</v>
      </c>
      <c r="I222">
        <v>1405.22</v>
      </c>
    </row>
    <row r="223" spans="1:9" hidden="1" x14ac:dyDescent="0.3">
      <c r="A223" t="s">
        <v>43</v>
      </c>
      <c r="B223" t="s">
        <v>24</v>
      </c>
      <c r="C223" t="s">
        <v>10</v>
      </c>
      <c r="D223">
        <v>5133.6499999999996</v>
      </c>
      <c r="F223">
        <v>82</v>
      </c>
      <c r="G223" t="s">
        <v>37</v>
      </c>
      <c r="H223">
        <v>14010.59</v>
      </c>
    </row>
    <row r="224" spans="1:9" hidden="1" x14ac:dyDescent="0.3">
      <c r="A224" t="s">
        <v>43</v>
      </c>
      <c r="B224" t="s">
        <v>24</v>
      </c>
      <c r="C224" t="s">
        <v>12</v>
      </c>
      <c r="D224">
        <v>3402.32</v>
      </c>
      <c r="E224">
        <v>1284.8</v>
      </c>
      <c r="F224">
        <v>102</v>
      </c>
      <c r="G224" t="s">
        <v>37</v>
      </c>
      <c r="H224">
        <v>9551.49</v>
      </c>
      <c r="I224">
        <v>1284.8</v>
      </c>
    </row>
    <row r="225" spans="1:9" hidden="1" x14ac:dyDescent="0.3">
      <c r="A225" t="s">
        <v>39</v>
      </c>
      <c r="B225" t="s">
        <v>18</v>
      </c>
      <c r="C225" t="s">
        <v>10</v>
      </c>
      <c r="D225">
        <v>19246.21</v>
      </c>
      <c r="E225">
        <v>5894.5</v>
      </c>
      <c r="F225">
        <v>223</v>
      </c>
      <c r="G225" t="s">
        <v>37</v>
      </c>
      <c r="H225">
        <v>32293.24</v>
      </c>
      <c r="I225">
        <v>5894.5</v>
      </c>
    </row>
    <row r="226" spans="1:9" hidden="1" x14ac:dyDescent="0.3">
      <c r="A226" t="s">
        <v>39</v>
      </c>
      <c r="B226" t="s">
        <v>18</v>
      </c>
      <c r="C226" t="s">
        <v>12</v>
      </c>
      <c r="D226">
        <v>13037.18</v>
      </c>
      <c r="E226">
        <v>3401.5</v>
      </c>
      <c r="F226">
        <v>147</v>
      </c>
      <c r="G226" t="s">
        <v>37</v>
      </c>
      <c r="H226">
        <v>23593.51</v>
      </c>
      <c r="I226">
        <v>3401.5</v>
      </c>
    </row>
    <row r="227" spans="1:9" hidden="1" x14ac:dyDescent="0.3">
      <c r="A227" t="s">
        <v>39</v>
      </c>
      <c r="B227" t="s">
        <v>13</v>
      </c>
      <c r="C227" t="s">
        <v>10</v>
      </c>
      <c r="D227">
        <v>18192.22</v>
      </c>
      <c r="E227">
        <v>3653.13</v>
      </c>
      <c r="F227">
        <v>183</v>
      </c>
      <c r="G227" t="s">
        <v>37</v>
      </c>
      <c r="H227">
        <v>28276.79</v>
      </c>
      <c r="I227">
        <v>3653.13</v>
      </c>
    </row>
    <row r="228" spans="1:9" hidden="1" x14ac:dyDescent="0.3">
      <c r="A228" t="s">
        <v>39</v>
      </c>
      <c r="B228" t="s">
        <v>13</v>
      </c>
      <c r="C228" t="s">
        <v>12</v>
      </c>
      <c r="D228">
        <v>8963.7000000000007</v>
      </c>
      <c r="E228">
        <v>2201.7199999999998</v>
      </c>
      <c r="F228">
        <v>122</v>
      </c>
      <c r="G228" t="s">
        <v>37</v>
      </c>
      <c r="H228">
        <v>14680.18</v>
      </c>
      <c r="I228">
        <v>2201.7199999999998</v>
      </c>
    </row>
    <row r="229" spans="1:9" hidden="1" x14ac:dyDescent="0.3">
      <c r="A229" t="s">
        <v>39</v>
      </c>
      <c r="B229" t="s">
        <v>33</v>
      </c>
      <c r="C229" t="s">
        <v>10</v>
      </c>
      <c r="D229">
        <v>12790.85</v>
      </c>
      <c r="E229">
        <v>3341.57</v>
      </c>
      <c r="F229">
        <v>218</v>
      </c>
      <c r="G229" t="s">
        <v>37</v>
      </c>
      <c r="H229">
        <v>23549.73</v>
      </c>
      <c r="I229">
        <v>3341.57</v>
      </c>
    </row>
    <row r="230" spans="1:9" hidden="1" x14ac:dyDescent="0.3">
      <c r="A230" t="s">
        <v>39</v>
      </c>
      <c r="B230" t="s">
        <v>33</v>
      </c>
      <c r="C230" t="s">
        <v>12</v>
      </c>
      <c r="D230">
        <v>7945.66</v>
      </c>
      <c r="E230">
        <v>2761.08</v>
      </c>
      <c r="F230">
        <v>144</v>
      </c>
      <c r="G230" t="s">
        <v>37</v>
      </c>
      <c r="H230">
        <v>14131.57</v>
      </c>
      <c r="I230">
        <v>2761.08</v>
      </c>
    </row>
    <row r="231" spans="1:9" hidden="1" x14ac:dyDescent="0.3">
      <c r="A231" t="s">
        <v>39</v>
      </c>
      <c r="B231" t="s">
        <v>20</v>
      </c>
      <c r="C231" t="s">
        <v>10</v>
      </c>
      <c r="D231">
        <v>10173.799999999999</v>
      </c>
      <c r="E231">
        <v>2792.92</v>
      </c>
      <c r="F231">
        <v>93</v>
      </c>
      <c r="G231" t="s">
        <v>37</v>
      </c>
      <c r="H231">
        <v>14449.38</v>
      </c>
      <c r="I231">
        <v>2792.92</v>
      </c>
    </row>
    <row r="232" spans="1:9" hidden="1" x14ac:dyDescent="0.3">
      <c r="A232" t="s">
        <v>39</v>
      </c>
      <c r="B232" t="s">
        <v>20</v>
      </c>
      <c r="C232" t="s">
        <v>12</v>
      </c>
      <c r="D232">
        <v>6428.46</v>
      </c>
      <c r="E232">
        <v>1414.34</v>
      </c>
      <c r="F232">
        <v>57</v>
      </c>
      <c r="G232" t="s">
        <v>37</v>
      </c>
      <c r="H232">
        <v>9244.0300000000007</v>
      </c>
      <c r="I232">
        <v>1414.34</v>
      </c>
    </row>
    <row r="233" spans="1:9" hidden="1" x14ac:dyDescent="0.3">
      <c r="A233" t="s">
        <v>39</v>
      </c>
      <c r="B233" t="s">
        <v>24</v>
      </c>
      <c r="C233" t="s">
        <v>10</v>
      </c>
      <c r="D233">
        <v>6327.24</v>
      </c>
      <c r="E233">
        <v>3476.83</v>
      </c>
      <c r="F233">
        <v>163</v>
      </c>
      <c r="G233" t="s">
        <v>37</v>
      </c>
      <c r="H233">
        <v>18583.57</v>
      </c>
      <c r="I233">
        <v>3476.83</v>
      </c>
    </row>
    <row r="234" spans="1:9" hidden="1" x14ac:dyDescent="0.3">
      <c r="A234" t="s">
        <v>39</v>
      </c>
      <c r="B234" t="s">
        <v>24</v>
      </c>
      <c r="C234" t="s">
        <v>12</v>
      </c>
      <c r="D234">
        <v>4978.6400000000003</v>
      </c>
      <c r="E234">
        <v>2098.65</v>
      </c>
      <c r="F234">
        <v>90</v>
      </c>
      <c r="G234" t="s">
        <v>37</v>
      </c>
      <c r="H234">
        <v>13669.21</v>
      </c>
      <c r="I234">
        <v>2098.65</v>
      </c>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ED6F1-88BE-4BC7-BF0C-B0DDC099713D}">
  <dimension ref="A1:H41"/>
  <sheetViews>
    <sheetView workbookViewId="0"/>
  </sheetViews>
  <sheetFormatPr defaultRowHeight="14.4" x14ac:dyDescent="0.3"/>
  <cols>
    <col min="1" max="1" width="13.21875" bestFit="1" customWidth="1"/>
    <col min="2" max="2" width="22.6640625" bestFit="1" customWidth="1"/>
    <col min="3" max="3" width="18.88671875" bestFit="1" customWidth="1"/>
    <col min="4" max="4" width="15" bestFit="1" customWidth="1"/>
    <col min="5" max="5" width="12.33203125" bestFit="1" customWidth="1"/>
    <col min="6" max="6" width="23.21875" bestFit="1" customWidth="1"/>
    <col min="7" max="7" width="11.21875" bestFit="1" customWidth="1"/>
    <col min="8" max="8" width="9.5546875" bestFit="1" customWidth="1"/>
  </cols>
  <sheetData>
    <row r="1" spans="1:8" x14ac:dyDescent="0.3">
      <c r="A1" t="s">
        <v>0</v>
      </c>
      <c r="B1" t="s">
        <v>1</v>
      </c>
      <c r="C1" t="s">
        <v>2</v>
      </c>
      <c r="D1" t="s">
        <v>3</v>
      </c>
      <c r="E1" t="s">
        <v>4</v>
      </c>
      <c r="F1" t="s">
        <v>5</v>
      </c>
      <c r="G1" t="s">
        <v>6</v>
      </c>
      <c r="H1" t="s">
        <v>7</v>
      </c>
    </row>
    <row r="2" spans="1:8" x14ac:dyDescent="0.3">
      <c r="A2" t="s">
        <v>8</v>
      </c>
      <c r="B2" t="s">
        <v>18</v>
      </c>
      <c r="C2" t="s">
        <v>10</v>
      </c>
      <c r="D2">
        <v>39581.43</v>
      </c>
      <c r="E2">
        <v>22434.19</v>
      </c>
      <c r="F2">
        <v>5035.18</v>
      </c>
      <c r="G2">
        <v>294</v>
      </c>
      <c r="H2" t="s">
        <v>41</v>
      </c>
    </row>
    <row r="3" spans="1:8" x14ac:dyDescent="0.3">
      <c r="A3" t="s">
        <v>8</v>
      </c>
      <c r="B3" t="s">
        <v>18</v>
      </c>
      <c r="C3" t="s">
        <v>12</v>
      </c>
      <c r="D3">
        <v>22612.55</v>
      </c>
      <c r="E3">
        <v>12947.43</v>
      </c>
      <c r="F3">
        <v>2995.85</v>
      </c>
      <c r="G3">
        <v>271</v>
      </c>
      <c r="H3" t="s">
        <v>41</v>
      </c>
    </row>
    <row r="4" spans="1:8" x14ac:dyDescent="0.3">
      <c r="A4" t="s">
        <v>8</v>
      </c>
      <c r="B4" t="s">
        <v>19</v>
      </c>
      <c r="C4" t="s">
        <v>10</v>
      </c>
      <c r="D4">
        <v>30686.09</v>
      </c>
      <c r="E4">
        <v>19256.13</v>
      </c>
      <c r="F4">
        <v>4923.71</v>
      </c>
      <c r="G4">
        <v>147</v>
      </c>
      <c r="H4" t="s">
        <v>41</v>
      </c>
    </row>
    <row r="5" spans="1:8" x14ac:dyDescent="0.3">
      <c r="A5" t="s">
        <v>8</v>
      </c>
      <c r="B5" t="s">
        <v>19</v>
      </c>
      <c r="C5" t="s">
        <v>12</v>
      </c>
      <c r="D5">
        <v>18687.490000000002</v>
      </c>
      <c r="E5">
        <v>12551.46</v>
      </c>
      <c r="F5">
        <v>3158.01</v>
      </c>
      <c r="G5">
        <v>130</v>
      </c>
      <c r="H5" t="s">
        <v>41</v>
      </c>
    </row>
    <row r="6" spans="1:8" x14ac:dyDescent="0.3">
      <c r="A6" t="s">
        <v>8</v>
      </c>
      <c r="B6" t="s">
        <v>33</v>
      </c>
      <c r="C6" t="s">
        <v>10</v>
      </c>
      <c r="D6">
        <v>24068.73</v>
      </c>
      <c r="E6">
        <v>12712</v>
      </c>
      <c r="F6">
        <v>4192.63</v>
      </c>
      <c r="G6">
        <v>141</v>
      </c>
      <c r="H6" t="s">
        <v>41</v>
      </c>
    </row>
    <row r="7" spans="1:8" x14ac:dyDescent="0.3">
      <c r="A7" t="s">
        <v>8</v>
      </c>
      <c r="B7" t="s">
        <v>33</v>
      </c>
      <c r="C7" t="s">
        <v>12</v>
      </c>
      <c r="D7">
        <v>14730.21</v>
      </c>
      <c r="E7">
        <v>7926.98</v>
      </c>
      <c r="F7">
        <v>2430.8000000000002</v>
      </c>
      <c r="G7">
        <v>76</v>
      </c>
      <c r="H7" t="s">
        <v>41</v>
      </c>
    </row>
    <row r="8" spans="1:8" x14ac:dyDescent="0.3">
      <c r="A8" t="s">
        <v>8</v>
      </c>
      <c r="B8" t="s">
        <v>28</v>
      </c>
      <c r="C8" t="s">
        <v>10</v>
      </c>
      <c r="D8">
        <v>16495.66</v>
      </c>
      <c r="E8">
        <v>11915.22</v>
      </c>
      <c r="F8">
        <v>2589.4899999999998</v>
      </c>
      <c r="G8">
        <v>142</v>
      </c>
      <c r="H8" t="s">
        <v>41</v>
      </c>
    </row>
    <row r="9" spans="1:8" x14ac:dyDescent="0.3">
      <c r="A9" t="s">
        <v>8</v>
      </c>
      <c r="B9" t="s">
        <v>28</v>
      </c>
      <c r="C9" t="s">
        <v>12</v>
      </c>
      <c r="D9">
        <v>10283.42</v>
      </c>
      <c r="E9">
        <v>6900.88</v>
      </c>
      <c r="F9">
        <v>1547.9</v>
      </c>
      <c r="G9">
        <v>66</v>
      </c>
      <c r="H9" t="s">
        <v>41</v>
      </c>
    </row>
    <row r="10" spans="1:8" x14ac:dyDescent="0.3">
      <c r="A10" t="s">
        <v>8</v>
      </c>
      <c r="B10" t="s">
        <v>21</v>
      </c>
      <c r="C10" t="s">
        <v>10</v>
      </c>
      <c r="D10">
        <v>21759.66</v>
      </c>
      <c r="E10">
        <v>7462.24</v>
      </c>
      <c r="F10">
        <v>2796.27</v>
      </c>
      <c r="G10">
        <v>106</v>
      </c>
      <c r="H10" t="s">
        <v>41</v>
      </c>
    </row>
    <row r="11" spans="1:8" x14ac:dyDescent="0.3">
      <c r="A11" t="s">
        <v>8</v>
      </c>
      <c r="B11" t="s">
        <v>21</v>
      </c>
      <c r="C11" t="s">
        <v>12</v>
      </c>
      <c r="D11">
        <v>12818.11</v>
      </c>
      <c r="E11">
        <v>4633.1499999999996</v>
      </c>
      <c r="F11">
        <v>2490.44</v>
      </c>
      <c r="G11">
        <v>142</v>
      </c>
      <c r="H11" t="s">
        <v>41</v>
      </c>
    </row>
    <row r="12" spans="1:8" x14ac:dyDescent="0.3">
      <c r="A12" t="s">
        <v>32</v>
      </c>
      <c r="B12" t="s">
        <v>26</v>
      </c>
      <c r="C12" t="s">
        <v>10</v>
      </c>
      <c r="D12">
        <v>46244.59</v>
      </c>
      <c r="E12">
        <v>26366.5</v>
      </c>
      <c r="F12">
        <v>7146.61</v>
      </c>
      <c r="G12">
        <v>284</v>
      </c>
      <c r="H12" t="s">
        <v>41</v>
      </c>
    </row>
    <row r="13" spans="1:8" x14ac:dyDescent="0.3">
      <c r="A13" t="s">
        <v>32</v>
      </c>
      <c r="B13" t="s">
        <v>26</v>
      </c>
      <c r="C13" t="s">
        <v>12</v>
      </c>
      <c r="D13">
        <v>25311.63</v>
      </c>
      <c r="E13">
        <v>14285.36</v>
      </c>
      <c r="F13">
        <v>3863.66</v>
      </c>
      <c r="G13">
        <v>171</v>
      </c>
      <c r="H13" t="s">
        <v>41</v>
      </c>
    </row>
    <row r="14" spans="1:8" x14ac:dyDescent="0.3">
      <c r="A14" t="s">
        <v>32</v>
      </c>
      <c r="B14" t="s">
        <v>27</v>
      </c>
      <c r="C14" t="s">
        <v>10</v>
      </c>
      <c r="D14">
        <v>29502.2</v>
      </c>
      <c r="E14">
        <v>18909.419999999998</v>
      </c>
      <c r="F14">
        <v>4044.86</v>
      </c>
      <c r="G14">
        <v>193</v>
      </c>
      <c r="H14" t="s">
        <v>41</v>
      </c>
    </row>
    <row r="15" spans="1:8" x14ac:dyDescent="0.3">
      <c r="A15" t="s">
        <v>32</v>
      </c>
      <c r="B15" t="s">
        <v>27</v>
      </c>
      <c r="C15" t="s">
        <v>12</v>
      </c>
      <c r="D15">
        <v>21669.27</v>
      </c>
      <c r="E15">
        <v>13911.98</v>
      </c>
      <c r="F15">
        <v>3769.56</v>
      </c>
      <c r="G15">
        <v>102</v>
      </c>
      <c r="H15" t="s">
        <v>41</v>
      </c>
    </row>
    <row r="16" spans="1:8" x14ac:dyDescent="0.3">
      <c r="A16" t="s">
        <v>32</v>
      </c>
      <c r="B16" t="s">
        <v>23</v>
      </c>
      <c r="C16" t="s">
        <v>10</v>
      </c>
      <c r="D16">
        <v>27967</v>
      </c>
      <c r="E16">
        <v>14901.24</v>
      </c>
      <c r="F16">
        <v>3525.36</v>
      </c>
      <c r="G16">
        <v>180</v>
      </c>
      <c r="H16" t="s">
        <v>41</v>
      </c>
    </row>
    <row r="17" spans="1:8" x14ac:dyDescent="0.3">
      <c r="A17" t="s">
        <v>32</v>
      </c>
      <c r="B17" t="s">
        <v>23</v>
      </c>
      <c r="C17" t="s">
        <v>12</v>
      </c>
      <c r="D17">
        <v>16582.47</v>
      </c>
      <c r="E17">
        <v>9013.58</v>
      </c>
      <c r="F17">
        <v>3103.25</v>
      </c>
      <c r="G17">
        <v>89</v>
      </c>
      <c r="H17" t="s">
        <v>41</v>
      </c>
    </row>
    <row r="18" spans="1:8" x14ac:dyDescent="0.3">
      <c r="A18" t="s">
        <v>32</v>
      </c>
      <c r="B18" t="s">
        <v>15</v>
      </c>
      <c r="C18" t="s">
        <v>10</v>
      </c>
      <c r="D18">
        <v>20286.259999999998</v>
      </c>
      <c r="E18">
        <v>13535.69</v>
      </c>
      <c r="F18">
        <v>2755.56</v>
      </c>
      <c r="G18">
        <v>128</v>
      </c>
      <c r="H18" t="s">
        <v>41</v>
      </c>
    </row>
    <row r="19" spans="1:8" x14ac:dyDescent="0.3">
      <c r="A19" t="s">
        <v>32</v>
      </c>
      <c r="B19" t="s">
        <v>15</v>
      </c>
      <c r="C19" t="s">
        <v>12</v>
      </c>
      <c r="D19">
        <v>11446.36</v>
      </c>
      <c r="E19">
        <v>8329.7000000000007</v>
      </c>
      <c r="F19">
        <v>1865.02</v>
      </c>
      <c r="G19">
        <v>106</v>
      </c>
      <c r="H19" t="s">
        <v>41</v>
      </c>
    </row>
    <row r="20" spans="1:8" x14ac:dyDescent="0.3">
      <c r="A20" t="s">
        <v>32</v>
      </c>
      <c r="B20" t="s">
        <v>16</v>
      </c>
      <c r="C20" t="s">
        <v>10</v>
      </c>
      <c r="D20">
        <v>24759.49</v>
      </c>
      <c r="E20">
        <v>8773.49</v>
      </c>
      <c r="F20">
        <v>3745.1</v>
      </c>
      <c r="G20">
        <v>130</v>
      </c>
      <c r="H20" t="s">
        <v>41</v>
      </c>
    </row>
    <row r="21" spans="1:8" x14ac:dyDescent="0.3">
      <c r="A21" t="s">
        <v>32</v>
      </c>
      <c r="B21" t="s">
        <v>16</v>
      </c>
      <c r="C21" t="s">
        <v>12</v>
      </c>
      <c r="D21">
        <v>14127.09</v>
      </c>
      <c r="E21">
        <v>5104.57</v>
      </c>
      <c r="F21">
        <v>2789.03</v>
      </c>
      <c r="G21">
        <v>93</v>
      </c>
      <c r="H21" t="s">
        <v>41</v>
      </c>
    </row>
    <row r="22" spans="1:8" x14ac:dyDescent="0.3">
      <c r="A22" t="s">
        <v>38</v>
      </c>
      <c r="B22" t="s">
        <v>26</v>
      </c>
      <c r="C22" t="s">
        <v>10</v>
      </c>
      <c r="D22">
        <v>28601.42</v>
      </c>
      <c r="E22">
        <v>16527.740000000002</v>
      </c>
      <c r="F22">
        <v>5383.66</v>
      </c>
      <c r="G22">
        <v>155</v>
      </c>
      <c r="H22" t="s">
        <v>41</v>
      </c>
    </row>
    <row r="23" spans="1:8" x14ac:dyDescent="0.3">
      <c r="A23" t="s">
        <v>38</v>
      </c>
      <c r="B23" t="s">
        <v>26</v>
      </c>
      <c r="C23" t="s">
        <v>12</v>
      </c>
      <c r="D23">
        <v>16087.21</v>
      </c>
      <c r="E23">
        <v>9455.39</v>
      </c>
      <c r="F23">
        <v>2353.3000000000002</v>
      </c>
      <c r="G23">
        <v>150</v>
      </c>
      <c r="H23" t="s">
        <v>41</v>
      </c>
    </row>
    <row r="24" spans="1:8" x14ac:dyDescent="0.3">
      <c r="A24" t="s">
        <v>38</v>
      </c>
      <c r="B24" t="s">
        <v>19</v>
      </c>
      <c r="C24" t="s">
        <v>10</v>
      </c>
      <c r="D24">
        <v>20198.61</v>
      </c>
      <c r="E24">
        <v>12793.16</v>
      </c>
      <c r="F24">
        <v>2749.76</v>
      </c>
      <c r="G24">
        <v>100</v>
      </c>
      <c r="H24" t="s">
        <v>41</v>
      </c>
    </row>
    <row r="25" spans="1:8" x14ac:dyDescent="0.3">
      <c r="A25" t="s">
        <v>38</v>
      </c>
      <c r="B25" t="s">
        <v>19</v>
      </c>
      <c r="C25" t="s">
        <v>12</v>
      </c>
      <c r="D25">
        <v>11565.71</v>
      </c>
      <c r="E25">
        <v>7609.03</v>
      </c>
      <c r="F25">
        <v>1693.43</v>
      </c>
      <c r="G25">
        <v>79</v>
      </c>
      <c r="H25" t="s">
        <v>41</v>
      </c>
    </row>
    <row r="26" spans="1:8" x14ac:dyDescent="0.3">
      <c r="A26" t="s">
        <v>38</v>
      </c>
      <c r="B26" t="s">
        <v>14</v>
      </c>
      <c r="C26" t="s">
        <v>10</v>
      </c>
      <c r="D26">
        <v>18660.62</v>
      </c>
      <c r="E26">
        <v>10775.3</v>
      </c>
      <c r="F26">
        <v>3686.94</v>
      </c>
      <c r="G26">
        <v>211</v>
      </c>
      <c r="H26" t="s">
        <v>41</v>
      </c>
    </row>
    <row r="27" spans="1:8" x14ac:dyDescent="0.3">
      <c r="A27" t="s">
        <v>38</v>
      </c>
      <c r="B27" t="s">
        <v>14</v>
      </c>
      <c r="C27" t="s">
        <v>12</v>
      </c>
      <c r="D27">
        <v>11480.04</v>
      </c>
      <c r="E27">
        <v>6158.71</v>
      </c>
      <c r="F27">
        <v>2219.89</v>
      </c>
      <c r="G27">
        <v>115</v>
      </c>
      <c r="H27" t="s">
        <v>41</v>
      </c>
    </row>
    <row r="28" spans="1:8" x14ac:dyDescent="0.3">
      <c r="A28" t="s">
        <v>38</v>
      </c>
      <c r="B28" t="s">
        <v>28</v>
      </c>
      <c r="C28" t="s">
        <v>10</v>
      </c>
      <c r="D28">
        <v>12085.06</v>
      </c>
      <c r="E28">
        <v>8204.66</v>
      </c>
      <c r="F28">
        <v>1878.12</v>
      </c>
      <c r="G28">
        <v>60</v>
      </c>
      <c r="H28" t="s">
        <v>41</v>
      </c>
    </row>
    <row r="29" spans="1:8" x14ac:dyDescent="0.3">
      <c r="A29" t="s">
        <v>38</v>
      </c>
      <c r="B29" t="s">
        <v>28</v>
      </c>
      <c r="C29" t="s">
        <v>12</v>
      </c>
      <c r="D29">
        <v>8212.11</v>
      </c>
      <c r="E29">
        <v>5995.44</v>
      </c>
      <c r="F29">
        <v>1517.8</v>
      </c>
      <c r="G29">
        <v>47</v>
      </c>
      <c r="H29" t="s">
        <v>41</v>
      </c>
    </row>
    <row r="30" spans="1:8" x14ac:dyDescent="0.3">
      <c r="A30" t="s">
        <v>38</v>
      </c>
      <c r="B30" t="s">
        <v>16</v>
      </c>
      <c r="C30" t="s">
        <v>10</v>
      </c>
      <c r="D30">
        <v>13857.82</v>
      </c>
      <c r="E30">
        <v>4992.8900000000003</v>
      </c>
      <c r="F30">
        <v>1810.1</v>
      </c>
      <c r="G30">
        <v>91</v>
      </c>
      <c r="H30" t="s">
        <v>41</v>
      </c>
    </row>
    <row r="31" spans="1:8" x14ac:dyDescent="0.3">
      <c r="A31" t="s">
        <v>38</v>
      </c>
      <c r="B31" t="s">
        <v>16</v>
      </c>
      <c r="C31" t="s">
        <v>12</v>
      </c>
      <c r="D31">
        <v>10261.120000000001</v>
      </c>
      <c r="E31">
        <v>3692.29</v>
      </c>
      <c r="F31">
        <v>1821.58</v>
      </c>
      <c r="G31">
        <v>51</v>
      </c>
      <c r="H31" t="s">
        <v>41</v>
      </c>
    </row>
    <row r="32" spans="1:8" x14ac:dyDescent="0.3">
      <c r="A32" t="s">
        <v>39</v>
      </c>
      <c r="B32" t="s">
        <v>9</v>
      </c>
      <c r="C32" t="s">
        <v>10</v>
      </c>
      <c r="D32">
        <v>35828.400000000001</v>
      </c>
      <c r="E32">
        <v>20082.48</v>
      </c>
      <c r="F32">
        <v>6883.35</v>
      </c>
      <c r="G32">
        <v>191</v>
      </c>
      <c r="H32" t="s">
        <v>41</v>
      </c>
    </row>
    <row r="33" spans="1:8" x14ac:dyDescent="0.3">
      <c r="A33" t="s">
        <v>39</v>
      </c>
      <c r="B33" t="s">
        <v>9</v>
      </c>
      <c r="C33" t="s">
        <v>12</v>
      </c>
      <c r="D33">
        <v>21613.17</v>
      </c>
      <c r="E33">
        <v>12318.76</v>
      </c>
      <c r="F33">
        <v>4213.4399999999996</v>
      </c>
      <c r="G33">
        <v>105</v>
      </c>
      <c r="H33" t="s">
        <v>41</v>
      </c>
    </row>
    <row r="34" spans="1:8" x14ac:dyDescent="0.3">
      <c r="A34" t="s">
        <v>39</v>
      </c>
      <c r="B34" t="s">
        <v>19</v>
      </c>
      <c r="C34" t="s">
        <v>10</v>
      </c>
      <c r="D34">
        <v>23716.78</v>
      </c>
      <c r="E34">
        <v>14567.23</v>
      </c>
      <c r="F34">
        <v>3005.71</v>
      </c>
      <c r="G34">
        <v>117</v>
      </c>
      <c r="H34" t="s">
        <v>41</v>
      </c>
    </row>
    <row r="35" spans="1:8" x14ac:dyDescent="0.3">
      <c r="A35" t="s">
        <v>39</v>
      </c>
      <c r="B35" t="s">
        <v>19</v>
      </c>
      <c r="C35" t="s">
        <v>12</v>
      </c>
      <c r="D35">
        <v>14967.4</v>
      </c>
      <c r="E35">
        <v>9936.51</v>
      </c>
      <c r="F35">
        <v>2062.9899999999998</v>
      </c>
      <c r="G35">
        <v>81</v>
      </c>
      <c r="H35" t="s">
        <v>41</v>
      </c>
    </row>
    <row r="36" spans="1:8" x14ac:dyDescent="0.3">
      <c r="A36" t="s">
        <v>39</v>
      </c>
      <c r="B36" t="s">
        <v>33</v>
      </c>
      <c r="C36" t="s">
        <v>10</v>
      </c>
      <c r="D36">
        <v>21889.86</v>
      </c>
      <c r="E36">
        <v>12050.68</v>
      </c>
      <c r="F36">
        <v>4174.3999999999996</v>
      </c>
      <c r="G36">
        <v>156</v>
      </c>
      <c r="H36" t="s">
        <v>41</v>
      </c>
    </row>
    <row r="37" spans="1:8" x14ac:dyDescent="0.3">
      <c r="A37" t="s">
        <v>39</v>
      </c>
      <c r="B37" t="s">
        <v>33</v>
      </c>
      <c r="C37" t="s">
        <v>12</v>
      </c>
      <c r="D37">
        <v>14427.69</v>
      </c>
      <c r="E37">
        <v>7927.82</v>
      </c>
      <c r="F37">
        <v>1947.13</v>
      </c>
      <c r="G37">
        <v>84</v>
      </c>
      <c r="H37" t="s">
        <v>41</v>
      </c>
    </row>
    <row r="38" spans="1:8" x14ac:dyDescent="0.3">
      <c r="A38" t="s">
        <v>39</v>
      </c>
      <c r="B38" t="s">
        <v>28</v>
      </c>
      <c r="C38" t="s">
        <v>10</v>
      </c>
      <c r="D38">
        <v>17117.97</v>
      </c>
      <c r="E38">
        <v>11528.58</v>
      </c>
      <c r="F38">
        <v>2073.79</v>
      </c>
      <c r="G38">
        <v>103</v>
      </c>
      <c r="H38" t="s">
        <v>41</v>
      </c>
    </row>
    <row r="39" spans="1:8" x14ac:dyDescent="0.3">
      <c r="A39" t="s">
        <v>39</v>
      </c>
      <c r="B39" t="s">
        <v>28</v>
      </c>
      <c r="C39" t="s">
        <v>12</v>
      </c>
      <c r="D39">
        <v>9998.0300000000007</v>
      </c>
      <c r="E39">
        <v>7016.45</v>
      </c>
      <c r="F39">
        <v>1910.27</v>
      </c>
      <c r="G39">
        <v>59</v>
      </c>
      <c r="H39" t="s">
        <v>41</v>
      </c>
    </row>
    <row r="40" spans="1:8" x14ac:dyDescent="0.3">
      <c r="A40" t="s">
        <v>39</v>
      </c>
      <c r="B40" t="s">
        <v>24</v>
      </c>
      <c r="C40" t="s">
        <v>10</v>
      </c>
      <c r="D40">
        <v>18941.09</v>
      </c>
      <c r="E40">
        <v>6698.38</v>
      </c>
      <c r="G40">
        <v>99</v>
      </c>
      <c r="H40" t="s">
        <v>41</v>
      </c>
    </row>
    <row r="41" spans="1:8" x14ac:dyDescent="0.3">
      <c r="A41" t="s">
        <v>39</v>
      </c>
      <c r="B41" t="s">
        <v>24</v>
      </c>
      <c r="C41" t="s">
        <v>12</v>
      </c>
      <c r="D41">
        <v>12824.03</v>
      </c>
      <c r="E41">
        <v>4416.2700000000004</v>
      </c>
      <c r="F41">
        <v>1799.04</v>
      </c>
      <c r="G41">
        <v>112</v>
      </c>
      <c r="H41" t="s">
        <v>41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29EE8-4DCE-4D6C-961A-D6CCDE6B23DF}">
  <dimension ref="A1:H41"/>
  <sheetViews>
    <sheetView workbookViewId="0"/>
  </sheetViews>
  <sheetFormatPr defaultRowHeight="14.4" x14ac:dyDescent="0.3"/>
  <cols>
    <col min="1" max="1" width="22.6640625" bestFit="1" customWidth="1"/>
    <col min="2" max="2" width="10.5546875" bestFit="1" customWidth="1"/>
    <col min="3" max="3" width="18.88671875" bestFit="1" customWidth="1"/>
    <col min="4" max="4" width="11.21875" bestFit="1" customWidth="1"/>
    <col min="5" max="5" width="15" bestFit="1" customWidth="1"/>
    <col min="6" max="6" width="12.33203125" bestFit="1" customWidth="1"/>
    <col min="7" max="7" width="24" bestFit="1" customWidth="1"/>
    <col min="8" max="8" width="9.33203125" bestFit="1" customWidth="1"/>
  </cols>
  <sheetData>
    <row r="1" spans="1:8" x14ac:dyDescent="0.3">
      <c r="A1" t="s">
        <v>1</v>
      </c>
      <c r="B1" t="s">
        <v>0</v>
      </c>
      <c r="C1" t="s">
        <v>2</v>
      </c>
      <c r="D1" t="s">
        <v>6</v>
      </c>
      <c r="E1" t="s">
        <v>3</v>
      </c>
      <c r="F1" t="s">
        <v>4</v>
      </c>
      <c r="G1" t="s">
        <v>29</v>
      </c>
      <c r="H1" t="s">
        <v>7</v>
      </c>
    </row>
    <row r="2" spans="1:8" x14ac:dyDescent="0.3">
      <c r="A2" t="s">
        <v>26</v>
      </c>
      <c r="B2" t="s">
        <v>30</v>
      </c>
      <c r="C2" t="s">
        <v>10</v>
      </c>
      <c r="D2">
        <v>409</v>
      </c>
      <c r="E2">
        <v>37863.72</v>
      </c>
      <c r="F2">
        <v>22605.360000000001</v>
      </c>
      <c r="G2">
        <v>4575.58</v>
      </c>
      <c r="H2" t="s">
        <v>40</v>
      </c>
    </row>
    <row r="3" spans="1:8" x14ac:dyDescent="0.3">
      <c r="A3" t="s">
        <v>26</v>
      </c>
      <c r="B3" t="s">
        <v>30</v>
      </c>
      <c r="C3" t="s">
        <v>12</v>
      </c>
      <c r="D3">
        <v>186</v>
      </c>
      <c r="E3">
        <v>22677.35</v>
      </c>
      <c r="F3">
        <v>13722.67</v>
      </c>
      <c r="G3">
        <v>4130.33</v>
      </c>
      <c r="H3" t="s">
        <v>40</v>
      </c>
    </row>
    <row r="4" spans="1:8" x14ac:dyDescent="0.3">
      <c r="A4" t="s">
        <v>19</v>
      </c>
      <c r="B4" t="s">
        <v>30</v>
      </c>
      <c r="C4" t="s">
        <v>10</v>
      </c>
      <c r="D4">
        <v>257</v>
      </c>
      <c r="E4">
        <v>27439.13</v>
      </c>
      <c r="F4">
        <v>18133.900000000001</v>
      </c>
      <c r="G4">
        <v>4777.9399999999996</v>
      </c>
      <c r="H4" t="s">
        <v>40</v>
      </c>
    </row>
    <row r="5" spans="1:8" x14ac:dyDescent="0.3">
      <c r="A5" t="s">
        <v>19</v>
      </c>
      <c r="B5" t="s">
        <v>30</v>
      </c>
      <c r="C5" t="s">
        <v>12</v>
      </c>
      <c r="D5">
        <v>129</v>
      </c>
      <c r="E5">
        <v>19485.259999999998</v>
      </c>
      <c r="F5">
        <v>12118.92</v>
      </c>
      <c r="G5">
        <v>2968.8</v>
      </c>
      <c r="H5" t="s">
        <v>40</v>
      </c>
    </row>
    <row r="6" spans="1:8" x14ac:dyDescent="0.3">
      <c r="A6" t="s">
        <v>23</v>
      </c>
      <c r="B6" t="s">
        <v>30</v>
      </c>
      <c r="C6" t="s">
        <v>10</v>
      </c>
      <c r="D6">
        <v>291</v>
      </c>
      <c r="E6">
        <v>25049.95</v>
      </c>
      <c r="F6">
        <v>13570.05</v>
      </c>
      <c r="G6">
        <v>3703.6</v>
      </c>
      <c r="H6" t="s">
        <v>40</v>
      </c>
    </row>
    <row r="7" spans="1:8" x14ac:dyDescent="0.3">
      <c r="A7" t="s">
        <v>23</v>
      </c>
      <c r="B7" t="s">
        <v>30</v>
      </c>
      <c r="C7" t="s">
        <v>12</v>
      </c>
      <c r="D7">
        <v>87</v>
      </c>
      <c r="E7">
        <v>16901.21</v>
      </c>
      <c r="F7">
        <v>9680.44</v>
      </c>
      <c r="G7">
        <v>3178.54</v>
      </c>
      <c r="H7" t="s">
        <v>40</v>
      </c>
    </row>
    <row r="8" spans="1:8" x14ac:dyDescent="0.3">
      <c r="A8" t="s">
        <v>15</v>
      </c>
      <c r="B8" t="s">
        <v>30</v>
      </c>
      <c r="C8" t="s">
        <v>10</v>
      </c>
      <c r="D8">
        <v>166</v>
      </c>
      <c r="E8">
        <v>17396.810000000001</v>
      </c>
      <c r="F8">
        <v>11768.1</v>
      </c>
      <c r="G8">
        <v>2571.3200000000002</v>
      </c>
      <c r="H8" t="s">
        <v>40</v>
      </c>
    </row>
    <row r="9" spans="1:8" x14ac:dyDescent="0.3">
      <c r="A9" t="s">
        <v>15</v>
      </c>
      <c r="B9" t="s">
        <v>30</v>
      </c>
      <c r="C9" t="s">
        <v>12</v>
      </c>
      <c r="D9">
        <v>103</v>
      </c>
      <c r="E9">
        <v>10502.78</v>
      </c>
      <c r="F9">
        <v>6996.41</v>
      </c>
      <c r="G9">
        <v>1759</v>
      </c>
      <c r="H9" t="s">
        <v>40</v>
      </c>
    </row>
    <row r="10" spans="1:8" x14ac:dyDescent="0.3">
      <c r="A10" t="s">
        <v>16</v>
      </c>
      <c r="B10" t="s">
        <v>30</v>
      </c>
      <c r="C10" t="s">
        <v>10</v>
      </c>
      <c r="D10">
        <v>231</v>
      </c>
      <c r="E10">
        <v>24089.439999999999</v>
      </c>
      <c r="F10">
        <v>8480.26</v>
      </c>
      <c r="G10">
        <v>4497.99</v>
      </c>
      <c r="H10" t="s">
        <v>40</v>
      </c>
    </row>
    <row r="11" spans="1:8" x14ac:dyDescent="0.3">
      <c r="A11" t="s">
        <v>16</v>
      </c>
      <c r="B11" t="s">
        <v>30</v>
      </c>
      <c r="C11" t="s">
        <v>12</v>
      </c>
      <c r="D11">
        <v>82</v>
      </c>
      <c r="E11">
        <v>14320.91</v>
      </c>
      <c r="F11">
        <v>5125.95</v>
      </c>
      <c r="G11">
        <v>2057.15</v>
      </c>
      <c r="H11" t="s">
        <v>40</v>
      </c>
    </row>
    <row r="12" spans="1:8" x14ac:dyDescent="0.3">
      <c r="A12" t="s">
        <v>18</v>
      </c>
      <c r="B12" t="s">
        <v>32</v>
      </c>
      <c r="C12" t="s">
        <v>10</v>
      </c>
      <c r="D12">
        <v>202</v>
      </c>
      <c r="E12">
        <v>48606.14</v>
      </c>
      <c r="F12">
        <v>22724.94</v>
      </c>
      <c r="G12">
        <v>6179.13</v>
      </c>
      <c r="H12" t="s">
        <v>40</v>
      </c>
    </row>
    <row r="13" spans="1:8" x14ac:dyDescent="0.3">
      <c r="A13" t="s">
        <v>18</v>
      </c>
      <c r="B13" t="s">
        <v>32</v>
      </c>
      <c r="C13" t="s">
        <v>12</v>
      </c>
      <c r="D13">
        <v>134</v>
      </c>
      <c r="E13">
        <v>33406.57</v>
      </c>
      <c r="F13">
        <v>16969.650000000001</v>
      </c>
      <c r="G13">
        <v>3950.32</v>
      </c>
      <c r="H13" t="s">
        <v>40</v>
      </c>
    </row>
    <row r="14" spans="1:8" x14ac:dyDescent="0.3">
      <c r="A14" t="s">
        <v>13</v>
      </c>
      <c r="B14" t="s">
        <v>32</v>
      </c>
      <c r="C14" t="s">
        <v>10</v>
      </c>
      <c r="D14">
        <v>228</v>
      </c>
      <c r="E14">
        <v>36537.35</v>
      </c>
      <c r="F14">
        <v>18861.580000000002</v>
      </c>
      <c r="G14">
        <v>3695.46</v>
      </c>
      <c r="H14" t="s">
        <v>40</v>
      </c>
    </row>
    <row r="15" spans="1:8" x14ac:dyDescent="0.3">
      <c r="A15" t="s">
        <v>13</v>
      </c>
      <c r="B15" t="s">
        <v>32</v>
      </c>
      <c r="C15" t="s">
        <v>12</v>
      </c>
      <c r="D15">
        <v>173</v>
      </c>
      <c r="E15">
        <v>24479.25</v>
      </c>
      <c r="F15">
        <v>13792.88</v>
      </c>
      <c r="G15">
        <v>4104.24</v>
      </c>
      <c r="H15" t="s">
        <v>40</v>
      </c>
    </row>
    <row r="16" spans="1:8" x14ac:dyDescent="0.3">
      <c r="A16" t="s">
        <v>33</v>
      </c>
      <c r="B16" t="s">
        <v>32</v>
      </c>
      <c r="C16" t="s">
        <v>10</v>
      </c>
      <c r="D16">
        <v>134</v>
      </c>
      <c r="E16">
        <v>31992.75</v>
      </c>
      <c r="F16">
        <v>15084.56</v>
      </c>
      <c r="G16">
        <v>4910.8</v>
      </c>
      <c r="H16" t="s">
        <v>40</v>
      </c>
    </row>
    <row r="17" spans="1:8" x14ac:dyDescent="0.3">
      <c r="A17" t="s">
        <v>33</v>
      </c>
      <c r="B17" t="s">
        <v>32</v>
      </c>
      <c r="C17" t="s">
        <v>12</v>
      </c>
      <c r="D17">
        <v>170</v>
      </c>
      <c r="E17">
        <v>19891.48</v>
      </c>
      <c r="F17">
        <v>8960.89</v>
      </c>
      <c r="G17">
        <v>2706.08</v>
      </c>
      <c r="H17" t="s">
        <v>40</v>
      </c>
    </row>
    <row r="18" spans="1:8" x14ac:dyDescent="0.3">
      <c r="A18" t="s">
        <v>20</v>
      </c>
      <c r="B18" t="s">
        <v>32</v>
      </c>
      <c r="C18" t="s">
        <v>10</v>
      </c>
      <c r="D18">
        <v>188</v>
      </c>
      <c r="E18">
        <v>25102.240000000002</v>
      </c>
      <c r="F18">
        <v>14538.07</v>
      </c>
      <c r="G18">
        <v>4043.77</v>
      </c>
      <c r="H18" t="s">
        <v>40</v>
      </c>
    </row>
    <row r="19" spans="1:8" x14ac:dyDescent="0.3">
      <c r="A19" t="s">
        <v>20</v>
      </c>
      <c r="B19" t="s">
        <v>32</v>
      </c>
      <c r="C19" t="s">
        <v>12</v>
      </c>
      <c r="D19">
        <v>121</v>
      </c>
      <c r="E19">
        <v>14113.11</v>
      </c>
      <c r="F19">
        <v>8533.86</v>
      </c>
      <c r="G19">
        <v>2361.35</v>
      </c>
      <c r="H19" t="s">
        <v>40</v>
      </c>
    </row>
    <row r="20" spans="1:8" x14ac:dyDescent="0.3">
      <c r="A20" t="s">
        <v>16</v>
      </c>
      <c r="B20" t="s">
        <v>32</v>
      </c>
      <c r="C20" t="s">
        <v>10</v>
      </c>
      <c r="D20">
        <v>115</v>
      </c>
      <c r="E20">
        <v>30067.87</v>
      </c>
      <c r="F20">
        <v>8515.36</v>
      </c>
      <c r="G20">
        <v>4331.74</v>
      </c>
      <c r="H20" t="s">
        <v>40</v>
      </c>
    </row>
    <row r="21" spans="1:8" x14ac:dyDescent="0.3">
      <c r="A21" t="s">
        <v>16</v>
      </c>
      <c r="B21" t="s">
        <v>32</v>
      </c>
      <c r="C21" t="s">
        <v>12</v>
      </c>
      <c r="D21">
        <v>0</v>
      </c>
      <c r="E21">
        <v>16856.740000000002</v>
      </c>
      <c r="F21">
        <v>4717.42</v>
      </c>
      <c r="G21">
        <v>1944.73</v>
      </c>
      <c r="H21" t="s">
        <v>40</v>
      </c>
    </row>
    <row r="22" spans="1:8" x14ac:dyDescent="0.3">
      <c r="A22" t="s">
        <v>9</v>
      </c>
      <c r="B22" t="s">
        <v>22</v>
      </c>
      <c r="C22" t="s">
        <v>10</v>
      </c>
      <c r="D22">
        <v>311</v>
      </c>
      <c r="E22">
        <v>26861.81</v>
      </c>
      <c r="F22">
        <v>15919.85</v>
      </c>
      <c r="G22">
        <v>3688.93</v>
      </c>
      <c r="H22" t="s">
        <v>40</v>
      </c>
    </row>
    <row r="23" spans="1:8" x14ac:dyDescent="0.3">
      <c r="A23" t="s">
        <v>9</v>
      </c>
      <c r="B23" t="s">
        <v>22</v>
      </c>
      <c r="C23" t="s">
        <v>12</v>
      </c>
      <c r="D23">
        <v>79</v>
      </c>
      <c r="E23">
        <v>16569.57</v>
      </c>
      <c r="F23">
        <v>9983.3799999999992</v>
      </c>
      <c r="G23">
        <v>3274.56</v>
      </c>
      <c r="H23" t="s">
        <v>40</v>
      </c>
    </row>
    <row r="24" spans="1:8" x14ac:dyDescent="0.3">
      <c r="A24" t="s">
        <v>19</v>
      </c>
      <c r="B24" t="s">
        <v>22</v>
      </c>
      <c r="C24" t="s">
        <v>10</v>
      </c>
      <c r="D24">
        <v>146</v>
      </c>
      <c r="E24">
        <v>17938.689999999999</v>
      </c>
      <c r="F24">
        <v>11861.82</v>
      </c>
      <c r="G24">
        <v>3323.84</v>
      </c>
      <c r="H24" t="s">
        <v>40</v>
      </c>
    </row>
    <row r="25" spans="1:8" x14ac:dyDescent="0.3">
      <c r="A25" t="s">
        <v>19</v>
      </c>
      <c r="B25" t="s">
        <v>22</v>
      </c>
      <c r="C25" t="s">
        <v>12</v>
      </c>
      <c r="D25">
        <v>83</v>
      </c>
      <c r="E25">
        <v>12572.55</v>
      </c>
      <c r="F25">
        <v>8326.82</v>
      </c>
      <c r="G25">
        <v>2452.37</v>
      </c>
      <c r="H25" t="s">
        <v>40</v>
      </c>
    </row>
    <row r="26" spans="1:8" x14ac:dyDescent="0.3">
      <c r="A26" t="s">
        <v>14</v>
      </c>
      <c r="B26" t="s">
        <v>22</v>
      </c>
      <c r="C26" t="s">
        <v>10</v>
      </c>
      <c r="D26">
        <v>147</v>
      </c>
      <c r="E26">
        <v>18630.96</v>
      </c>
      <c r="F26">
        <v>10443.14</v>
      </c>
      <c r="G26">
        <v>2283.27</v>
      </c>
      <c r="H26" t="s">
        <v>40</v>
      </c>
    </row>
    <row r="27" spans="1:8" x14ac:dyDescent="0.3">
      <c r="A27" t="s">
        <v>14</v>
      </c>
      <c r="B27" t="s">
        <v>22</v>
      </c>
      <c r="C27" t="s">
        <v>12</v>
      </c>
      <c r="D27">
        <v>96</v>
      </c>
      <c r="E27">
        <v>10153.93</v>
      </c>
      <c r="F27">
        <v>5537.14</v>
      </c>
      <c r="G27">
        <v>1768.13</v>
      </c>
      <c r="H27" t="s">
        <v>40</v>
      </c>
    </row>
    <row r="28" spans="1:8" x14ac:dyDescent="0.3">
      <c r="A28" t="s">
        <v>28</v>
      </c>
      <c r="B28" t="s">
        <v>22</v>
      </c>
      <c r="C28" t="s">
        <v>10</v>
      </c>
      <c r="D28">
        <v>76</v>
      </c>
      <c r="E28">
        <v>12663.64</v>
      </c>
      <c r="F28">
        <v>9059.89</v>
      </c>
      <c r="G28">
        <v>1783.3</v>
      </c>
      <c r="H28" t="s">
        <v>40</v>
      </c>
    </row>
    <row r="29" spans="1:8" x14ac:dyDescent="0.3">
      <c r="A29" t="s">
        <v>28</v>
      </c>
      <c r="B29" t="s">
        <v>22</v>
      </c>
      <c r="C29" t="s">
        <v>12</v>
      </c>
      <c r="D29">
        <v>76</v>
      </c>
      <c r="E29">
        <v>8010.92</v>
      </c>
      <c r="F29">
        <v>5344.27</v>
      </c>
      <c r="G29">
        <v>1121.5999999999999</v>
      </c>
      <c r="H29" t="s">
        <v>40</v>
      </c>
    </row>
    <row r="30" spans="1:8" x14ac:dyDescent="0.3">
      <c r="A30" t="s">
        <v>24</v>
      </c>
      <c r="B30" t="s">
        <v>22</v>
      </c>
      <c r="C30" t="s">
        <v>10</v>
      </c>
      <c r="D30">
        <v>114</v>
      </c>
      <c r="E30">
        <v>14313.74</v>
      </c>
      <c r="F30">
        <v>5190.96</v>
      </c>
      <c r="G30">
        <v>2060.9</v>
      </c>
      <c r="H30" t="s">
        <v>40</v>
      </c>
    </row>
    <row r="31" spans="1:8" x14ac:dyDescent="0.3">
      <c r="A31" t="s">
        <v>24</v>
      </c>
      <c r="B31" t="s">
        <v>22</v>
      </c>
      <c r="C31" t="s">
        <v>12</v>
      </c>
      <c r="D31">
        <v>58</v>
      </c>
      <c r="E31">
        <v>9149.07</v>
      </c>
      <c r="F31">
        <v>3292.67</v>
      </c>
      <c r="G31">
        <v>1102.31</v>
      </c>
      <c r="H31" t="s">
        <v>40</v>
      </c>
    </row>
    <row r="32" spans="1:8" x14ac:dyDescent="0.3">
      <c r="A32" t="s">
        <v>26</v>
      </c>
      <c r="B32" t="s">
        <v>34</v>
      </c>
      <c r="C32" t="s">
        <v>10</v>
      </c>
      <c r="D32">
        <v>340</v>
      </c>
      <c r="E32">
        <v>33999.449999999997</v>
      </c>
      <c r="F32">
        <v>19979.22</v>
      </c>
      <c r="G32">
        <v>4971.3599999999997</v>
      </c>
      <c r="H32" t="s">
        <v>40</v>
      </c>
    </row>
    <row r="33" spans="1:8" x14ac:dyDescent="0.3">
      <c r="A33" t="s">
        <v>26</v>
      </c>
      <c r="B33" t="s">
        <v>34</v>
      </c>
      <c r="C33" t="s">
        <v>12</v>
      </c>
      <c r="D33">
        <v>153</v>
      </c>
      <c r="E33">
        <v>22291.41</v>
      </c>
      <c r="F33">
        <v>13042.1</v>
      </c>
      <c r="G33">
        <v>4093.71</v>
      </c>
      <c r="H33" t="s">
        <v>40</v>
      </c>
    </row>
    <row r="34" spans="1:8" x14ac:dyDescent="0.3">
      <c r="A34" t="s">
        <v>27</v>
      </c>
      <c r="B34" t="s">
        <v>34</v>
      </c>
      <c r="C34" t="s">
        <v>10</v>
      </c>
      <c r="D34">
        <v>226</v>
      </c>
      <c r="E34">
        <v>28567.84</v>
      </c>
      <c r="F34">
        <v>18782.830000000002</v>
      </c>
      <c r="G34">
        <v>4643.92</v>
      </c>
      <c r="H34" t="s">
        <v>40</v>
      </c>
    </row>
    <row r="35" spans="1:8" x14ac:dyDescent="0.3">
      <c r="A35" t="s">
        <v>27</v>
      </c>
      <c r="B35" t="s">
        <v>34</v>
      </c>
      <c r="C35" t="s">
        <v>12</v>
      </c>
      <c r="D35">
        <v>70</v>
      </c>
      <c r="E35">
        <v>15376.1</v>
      </c>
      <c r="F35">
        <v>9967.34</v>
      </c>
      <c r="G35">
        <v>2149.42</v>
      </c>
      <c r="H35" t="s">
        <v>40</v>
      </c>
    </row>
    <row r="36" spans="1:8" x14ac:dyDescent="0.3">
      <c r="A36" t="s">
        <v>23</v>
      </c>
      <c r="B36" t="s">
        <v>34</v>
      </c>
      <c r="C36" t="s">
        <v>10</v>
      </c>
      <c r="D36">
        <v>280</v>
      </c>
      <c r="E36">
        <v>24763.5</v>
      </c>
      <c r="F36">
        <v>13252.3</v>
      </c>
      <c r="G36">
        <v>3131.53</v>
      </c>
      <c r="H36" t="s">
        <v>40</v>
      </c>
    </row>
    <row r="37" spans="1:8" x14ac:dyDescent="0.3">
      <c r="A37" t="s">
        <v>23</v>
      </c>
      <c r="B37" t="s">
        <v>34</v>
      </c>
      <c r="C37" t="s">
        <v>12</v>
      </c>
      <c r="D37">
        <v>0</v>
      </c>
      <c r="E37">
        <v>13834.11</v>
      </c>
      <c r="F37">
        <v>7783.07</v>
      </c>
      <c r="G37">
        <v>1949.86</v>
      </c>
      <c r="H37" t="s">
        <v>40</v>
      </c>
    </row>
    <row r="38" spans="1:8" x14ac:dyDescent="0.3">
      <c r="A38" t="s">
        <v>15</v>
      </c>
      <c r="B38" t="s">
        <v>34</v>
      </c>
      <c r="C38" t="s">
        <v>10</v>
      </c>
      <c r="D38">
        <v>124</v>
      </c>
      <c r="E38">
        <v>17532.04</v>
      </c>
      <c r="F38">
        <v>12184.87</v>
      </c>
      <c r="G38">
        <v>3327.17</v>
      </c>
      <c r="H38" t="s">
        <v>40</v>
      </c>
    </row>
    <row r="39" spans="1:8" x14ac:dyDescent="0.3">
      <c r="A39" t="s">
        <v>15</v>
      </c>
      <c r="B39" t="s">
        <v>34</v>
      </c>
      <c r="C39" t="s">
        <v>12</v>
      </c>
      <c r="D39">
        <v>57</v>
      </c>
      <c r="E39">
        <v>10220.34</v>
      </c>
      <c r="F39">
        <v>6899.1</v>
      </c>
      <c r="G39">
        <v>1691.43</v>
      </c>
      <c r="H39" t="s">
        <v>40</v>
      </c>
    </row>
    <row r="40" spans="1:8" x14ac:dyDescent="0.3">
      <c r="A40" t="s">
        <v>16</v>
      </c>
      <c r="B40" t="s">
        <v>34</v>
      </c>
      <c r="C40" t="s">
        <v>10</v>
      </c>
      <c r="D40">
        <v>122</v>
      </c>
      <c r="E40">
        <v>20015.18</v>
      </c>
      <c r="F40">
        <v>6973.53</v>
      </c>
      <c r="G40">
        <v>3232.34</v>
      </c>
      <c r="H40" t="s">
        <v>40</v>
      </c>
    </row>
    <row r="41" spans="1:8" x14ac:dyDescent="0.3">
      <c r="A41" t="s">
        <v>16</v>
      </c>
      <c r="B41" t="s">
        <v>34</v>
      </c>
      <c r="C41" t="s">
        <v>12</v>
      </c>
      <c r="D41">
        <v>59</v>
      </c>
      <c r="E41">
        <v>12509.25</v>
      </c>
      <c r="F41">
        <v>4202.29</v>
      </c>
      <c r="G41">
        <v>1534.6</v>
      </c>
      <c r="H41" t="s">
        <v>40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4B05B-D688-46D2-B6E4-308202487C6C}">
  <dimension ref="A1:H41"/>
  <sheetViews>
    <sheetView workbookViewId="0"/>
  </sheetViews>
  <sheetFormatPr defaultRowHeight="14.4" x14ac:dyDescent="0.3"/>
  <cols>
    <col min="1" max="1" width="18.88671875" bestFit="1" customWidth="1"/>
    <col min="2" max="2" width="10.88671875" bestFit="1" customWidth="1"/>
    <col min="3" max="3" width="22.6640625" bestFit="1" customWidth="1"/>
    <col min="4" max="4" width="15" bestFit="1" customWidth="1"/>
    <col min="5" max="5" width="12.33203125" bestFit="1" customWidth="1"/>
    <col min="6" max="6" width="24" bestFit="1" customWidth="1"/>
    <col min="7" max="7" width="11.21875" bestFit="1" customWidth="1"/>
    <col min="8" max="8" width="9" bestFit="1" customWidth="1"/>
  </cols>
  <sheetData>
    <row r="1" spans="1:8" x14ac:dyDescent="0.3">
      <c r="A1" t="s">
        <v>2</v>
      </c>
      <c r="B1" t="s">
        <v>0</v>
      </c>
      <c r="C1" t="s">
        <v>1</v>
      </c>
      <c r="D1" t="s">
        <v>3</v>
      </c>
      <c r="E1" t="s">
        <v>4</v>
      </c>
      <c r="F1" t="s">
        <v>29</v>
      </c>
      <c r="G1" t="s">
        <v>6</v>
      </c>
      <c r="H1" t="s">
        <v>7</v>
      </c>
    </row>
    <row r="2" spans="1:8" x14ac:dyDescent="0.3">
      <c r="A2" t="s">
        <v>10</v>
      </c>
      <c r="B2" t="s">
        <v>36</v>
      </c>
      <c r="C2" t="s">
        <v>26</v>
      </c>
      <c r="D2">
        <v>35174.69</v>
      </c>
      <c r="E2">
        <v>20047.63</v>
      </c>
      <c r="F2">
        <v>6825.29</v>
      </c>
      <c r="G2">
        <v>275</v>
      </c>
      <c r="H2" t="s">
        <v>37</v>
      </c>
    </row>
    <row r="3" spans="1:8" x14ac:dyDescent="0.3">
      <c r="A3" t="s">
        <v>12</v>
      </c>
      <c r="B3" t="s">
        <v>36</v>
      </c>
      <c r="C3" t="s">
        <v>26</v>
      </c>
      <c r="D3">
        <v>25177.42</v>
      </c>
      <c r="E3">
        <v>15264.99</v>
      </c>
      <c r="G3">
        <v>155</v>
      </c>
      <c r="H3" t="s">
        <v>37</v>
      </c>
    </row>
    <row r="4" spans="1:8" x14ac:dyDescent="0.3">
      <c r="A4" t="s">
        <v>10</v>
      </c>
      <c r="B4" t="s">
        <v>36</v>
      </c>
      <c r="C4" t="s">
        <v>13</v>
      </c>
      <c r="D4">
        <v>31120.5</v>
      </c>
      <c r="E4">
        <v>19812.560000000001</v>
      </c>
      <c r="F4">
        <v>5502.52</v>
      </c>
      <c r="G4">
        <v>290</v>
      </c>
      <c r="H4" t="s">
        <v>37</v>
      </c>
    </row>
    <row r="5" spans="1:8" x14ac:dyDescent="0.3">
      <c r="A5" t="s">
        <v>12</v>
      </c>
      <c r="B5" t="s">
        <v>36</v>
      </c>
      <c r="C5" t="s">
        <v>13</v>
      </c>
      <c r="D5">
        <v>18687.54</v>
      </c>
      <c r="E5">
        <v>12056.01</v>
      </c>
      <c r="F5">
        <v>3585.3</v>
      </c>
      <c r="G5">
        <v>165</v>
      </c>
      <c r="H5" t="s">
        <v>37</v>
      </c>
    </row>
    <row r="6" spans="1:8" x14ac:dyDescent="0.3">
      <c r="A6" t="s">
        <v>10</v>
      </c>
      <c r="B6" t="s">
        <v>36</v>
      </c>
      <c r="C6" t="s">
        <v>33</v>
      </c>
      <c r="D6">
        <v>22364.78</v>
      </c>
      <c r="E6">
        <v>11786.51</v>
      </c>
      <c r="F6">
        <v>3773.29</v>
      </c>
      <c r="G6">
        <v>135</v>
      </c>
      <c r="H6" t="s">
        <v>37</v>
      </c>
    </row>
    <row r="7" spans="1:8" x14ac:dyDescent="0.3">
      <c r="A7" t="s">
        <v>12</v>
      </c>
      <c r="B7" t="s">
        <v>36</v>
      </c>
      <c r="C7" t="s">
        <v>33</v>
      </c>
      <c r="D7">
        <v>14538.42</v>
      </c>
      <c r="E7">
        <v>8028.48</v>
      </c>
      <c r="F7">
        <v>2869.67</v>
      </c>
      <c r="G7">
        <v>74</v>
      </c>
      <c r="H7" t="s">
        <v>37</v>
      </c>
    </row>
    <row r="8" spans="1:8" x14ac:dyDescent="0.3">
      <c r="A8" t="s">
        <v>10</v>
      </c>
      <c r="B8" t="s">
        <v>36</v>
      </c>
      <c r="C8" t="s">
        <v>28</v>
      </c>
      <c r="D8">
        <v>18831.580000000002</v>
      </c>
      <c r="E8">
        <v>13060.48</v>
      </c>
      <c r="F8">
        <v>2645.26</v>
      </c>
      <c r="G8">
        <v>173</v>
      </c>
      <c r="H8" t="s">
        <v>37</v>
      </c>
    </row>
    <row r="9" spans="1:8" x14ac:dyDescent="0.3">
      <c r="A9" t="s">
        <v>12</v>
      </c>
      <c r="B9" t="s">
        <v>36</v>
      </c>
      <c r="C9" t="s">
        <v>28</v>
      </c>
      <c r="D9">
        <v>11598.13</v>
      </c>
      <c r="E9">
        <v>7995.8</v>
      </c>
      <c r="F9">
        <v>2183.06</v>
      </c>
      <c r="G9">
        <v>60</v>
      </c>
      <c r="H9" t="s">
        <v>37</v>
      </c>
    </row>
    <row r="10" spans="1:8" x14ac:dyDescent="0.3">
      <c r="A10" t="s">
        <v>10</v>
      </c>
      <c r="B10" t="s">
        <v>36</v>
      </c>
      <c r="C10" t="s">
        <v>16</v>
      </c>
      <c r="D10">
        <v>22956.400000000001</v>
      </c>
      <c r="E10">
        <v>8075.86</v>
      </c>
      <c r="F10">
        <v>3439.87</v>
      </c>
      <c r="G10">
        <v>142</v>
      </c>
      <c r="H10" t="s">
        <v>37</v>
      </c>
    </row>
    <row r="11" spans="1:8" x14ac:dyDescent="0.3">
      <c r="A11" t="s">
        <v>12</v>
      </c>
      <c r="B11" t="s">
        <v>36</v>
      </c>
      <c r="C11" t="s">
        <v>16</v>
      </c>
      <c r="D11">
        <v>14251.75</v>
      </c>
      <c r="E11">
        <v>4870.57</v>
      </c>
      <c r="F11">
        <v>2305.17</v>
      </c>
      <c r="G11">
        <v>116</v>
      </c>
      <c r="H11" t="s">
        <v>37</v>
      </c>
    </row>
    <row r="12" spans="1:8" x14ac:dyDescent="0.3">
      <c r="A12" t="s">
        <v>10</v>
      </c>
      <c r="B12" t="s">
        <v>32</v>
      </c>
      <c r="C12" t="s">
        <v>9</v>
      </c>
      <c r="D12">
        <v>40156.15</v>
      </c>
      <c r="E12">
        <v>22242.69</v>
      </c>
      <c r="F12">
        <v>7889.7</v>
      </c>
      <c r="G12">
        <v>230</v>
      </c>
      <c r="H12" t="s">
        <v>37</v>
      </c>
    </row>
    <row r="13" spans="1:8" x14ac:dyDescent="0.3">
      <c r="A13" t="s">
        <v>12</v>
      </c>
      <c r="B13" t="s">
        <v>32</v>
      </c>
      <c r="C13" t="s">
        <v>9</v>
      </c>
      <c r="D13">
        <v>29166.49</v>
      </c>
      <c r="E13">
        <v>16277.85</v>
      </c>
      <c r="F13">
        <v>3910.92</v>
      </c>
      <c r="G13">
        <v>311</v>
      </c>
      <c r="H13" t="s">
        <v>37</v>
      </c>
    </row>
    <row r="14" spans="1:8" x14ac:dyDescent="0.3">
      <c r="A14" t="s">
        <v>10</v>
      </c>
      <c r="B14" t="s">
        <v>32</v>
      </c>
      <c r="C14" t="s">
        <v>13</v>
      </c>
      <c r="D14">
        <v>29192.560000000001</v>
      </c>
      <c r="E14">
        <v>18671.400000000001</v>
      </c>
      <c r="F14">
        <v>4772.2299999999996</v>
      </c>
      <c r="G14">
        <v>147</v>
      </c>
      <c r="H14" t="s">
        <v>37</v>
      </c>
    </row>
    <row r="15" spans="1:8" x14ac:dyDescent="0.3">
      <c r="A15" t="s">
        <v>12</v>
      </c>
      <c r="B15" t="s">
        <v>32</v>
      </c>
      <c r="C15" t="s">
        <v>13</v>
      </c>
      <c r="D15">
        <v>19408.57</v>
      </c>
      <c r="E15">
        <v>12449.38</v>
      </c>
      <c r="F15">
        <v>3249.96</v>
      </c>
      <c r="G15">
        <v>170</v>
      </c>
      <c r="H15" t="s">
        <v>37</v>
      </c>
    </row>
    <row r="16" spans="1:8" x14ac:dyDescent="0.3">
      <c r="A16" t="s">
        <v>10</v>
      </c>
      <c r="B16" t="s">
        <v>32</v>
      </c>
      <c r="C16" t="s">
        <v>14</v>
      </c>
      <c r="D16">
        <v>29900.86</v>
      </c>
      <c r="E16">
        <v>15820.38</v>
      </c>
      <c r="F16">
        <v>3876.86</v>
      </c>
      <c r="G16">
        <v>287</v>
      </c>
      <c r="H16" t="s">
        <v>37</v>
      </c>
    </row>
    <row r="17" spans="1:8" x14ac:dyDescent="0.3">
      <c r="A17" t="s">
        <v>12</v>
      </c>
      <c r="B17" t="s">
        <v>32</v>
      </c>
      <c r="C17" t="s">
        <v>14</v>
      </c>
      <c r="D17">
        <v>18101.88</v>
      </c>
      <c r="E17">
        <v>9463.94</v>
      </c>
      <c r="F17">
        <v>2974.99</v>
      </c>
      <c r="G17">
        <v>90</v>
      </c>
      <c r="H17" t="s">
        <v>37</v>
      </c>
    </row>
    <row r="18" spans="1:8" x14ac:dyDescent="0.3">
      <c r="A18" t="s">
        <v>10</v>
      </c>
      <c r="B18" t="s">
        <v>32</v>
      </c>
      <c r="C18" t="s">
        <v>28</v>
      </c>
      <c r="D18">
        <v>18377.54</v>
      </c>
      <c r="E18">
        <v>12459.73</v>
      </c>
      <c r="F18">
        <v>3320.61</v>
      </c>
      <c r="G18">
        <v>85</v>
      </c>
      <c r="H18" t="s">
        <v>37</v>
      </c>
    </row>
    <row r="19" spans="1:8" x14ac:dyDescent="0.3">
      <c r="A19" t="s">
        <v>12</v>
      </c>
      <c r="B19" t="s">
        <v>32</v>
      </c>
      <c r="C19" t="s">
        <v>28</v>
      </c>
      <c r="D19">
        <v>11274.99</v>
      </c>
      <c r="E19">
        <v>7916.91</v>
      </c>
      <c r="F19">
        <v>1926.6</v>
      </c>
      <c r="G19">
        <v>82</v>
      </c>
      <c r="H19" t="s">
        <v>37</v>
      </c>
    </row>
    <row r="20" spans="1:8" x14ac:dyDescent="0.3">
      <c r="A20" t="s">
        <v>10</v>
      </c>
      <c r="B20" t="s">
        <v>32</v>
      </c>
      <c r="C20" t="s">
        <v>24</v>
      </c>
      <c r="D20">
        <v>24082.47</v>
      </c>
      <c r="E20">
        <v>8330.93</v>
      </c>
      <c r="F20">
        <v>4594.9399999999996</v>
      </c>
      <c r="G20">
        <v>261</v>
      </c>
      <c r="H20" t="s">
        <v>37</v>
      </c>
    </row>
    <row r="21" spans="1:8" x14ac:dyDescent="0.3">
      <c r="A21" t="s">
        <v>12</v>
      </c>
      <c r="B21" t="s">
        <v>32</v>
      </c>
      <c r="C21" t="s">
        <v>24</v>
      </c>
      <c r="D21">
        <v>15965.31</v>
      </c>
      <c r="E21">
        <v>5587.37</v>
      </c>
      <c r="F21">
        <v>2628.86</v>
      </c>
      <c r="G21">
        <v>168</v>
      </c>
      <c r="H21" t="s">
        <v>37</v>
      </c>
    </row>
    <row r="22" spans="1:8" x14ac:dyDescent="0.3">
      <c r="A22" t="s">
        <v>10</v>
      </c>
      <c r="B22" t="s">
        <v>38</v>
      </c>
      <c r="C22" t="s">
        <v>9</v>
      </c>
      <c r="D22">
        <v>26064.53</v>
      </c>
      <c r="E22">
        <v>14964.98</v>
      </c>
      <c r="F22">
        <v>4129.92</v>
      </c>
      <c r="G22">
        <v>195</v>
      </c>
      <c r="H22" t="s">
        <v>37</v>
      </c>
    </row>
    <row r="23" spans="1:8" x14ac:dyDescent="0.3">
      <c r="A23" t="s">
        <v>12</v>
      </c>
      <c r="B23" t="s">
        <v>38</v>
      </c>
      <c r="C23" t="s">
        <v>9</v>
      </c>
      <c r="D23">
        <v>18139.509999999998</v>
      </c>
      <c r="E23">
        <v>10192.92</v>
      </c>
      <c r="F23">
        <v>2877.3</v>
      </c>
      <c r="G23">
        <v>187</v>
      </c>
      <c r="H23" t="s">
        <v>37</v>
      </c>
    </row>
    <row r="24" spans="1:8" x14ac:dyDescent="0.3">
      <c r="A24" t="s">
        <v>10</v>
      </c>
      <c r="B24" t="s">
        <v>38</v>
      </c>
      <c r="C24" t="s">
        <v>13</v>
      </c>
      <c r="D24">
        <v>19812.61</v>
      </c>
      <c r="E24">
        <v>13209.28</v>
      </c>
      <c r="F24">
        <v>2645.84</v>
      </c>
      <c r="G24">
        <v>96</v>
      </c>
      <c r="H24" t="s">
        <v>37</v>
      </c>
    </row>
    <row r="25" spans="1:8" x14ac:dyDescent="0.3">
      <c r="A25" t="s">
        <v>12</v>
      </c>
      <c r="B25" t="s">
        <v>38</v>
      </c>
      <c r="C25" t="s">
        <v>13</v>
      </c>
      <c r="D25">
        <v>12639.62</v>
      </c>
      <c r="E25">
        <v>7935</v>
      </c>
      <c r="F25">
        <v>1516.88</v>
      </c>
      <c r="G25">
        <v>0</v>
      </c>
      <c r="H25" t="s">
        <v>37</v>
      </c>
    </row>
    <row r="26" spans="1:8" x14ac:dyDescent="0.3">
      <c r="A26" t="s">
        <v>10</v>
      </c>
      <c r="B26" t="s">
        <v>38</v>
      </c>
      <c r="C26" t="s">
        <v>23</v>
      </c>
      <c r="D26">
        <v>17611.189999999999</v>
      </c>
      <c r="E26">
        <v>9839.36</v>
      </c>
      <c r="F26">
        <v>2287.34</v>
      </c>
      <c r="G26">
        <v>104</v>
      </c>
      <c r="H26" t="s">
        <v>37</v>
      </c>
    </row>
    <row r="27" spans="1:8" x14ac:dyDescent="0.3">
      <c r="A27" t="s">
        <v>12</v>
      </c>
      <c r="B27" t="s">
        <v>38</v>
      </c>
      <c r="C27" t="s">
        <v>23</v>
      </c>
      <c r="D27">
        <v>10696.93</v>
      </c>
      <c r="E27">
        <v>6081.15</v>
      </c>
      <c r="F27">
        <v>1857.12</v>
      </c>
      <c r="G27">
        <v>0</v>
      </c>
      <c r="H27" t="s">
        <v>37</v>
      </c>
    </row>
    <row r="28" spans="1:8" x14ac:dyDescent="0.3">
      <c r="A28" t="s">
        <v>10</v>
      </c>
      <c r="B28" t="s">
        <v>38</v>
      </c>
      <c r="C28" t="s">
        <v>20</v>
      </c>
      <c r="D28">
        <v>11062.28</v>
      </c>
      <c r="E28">
        <v>7491.81</v>
      </c>
      <c r="F28">
        <v>1680.38</v>
      </c>
      <c r="G28">
        <v>124</v>
      </c>
      <c r="H28" t="s">
        <v>37</v>
      </c>
    </row>
    <row r="29" spans="1:8" x14ac:dyDescent="0.3">
      <c r="A29" t="s">
        <v>12</v>
      </c>
      <c r="B29" t="s">
        <v>38</v>
      </c>
      <c r="C29" t="s">
        <v>20</v>
      </c>
      <c r="D29">
        <v>7814.94</v>
      </c>
      <c r="E29">
        <v>5559.03</v>
      </c>
      <c r="F29">
        <v>1405.22</v>
      </c>
      <c r="G29">
        <v>38</v>
      </c>
      <c r="H29" t="s">
        <v>37</v>
      </c>
    </row>
    <row r="30" spans="1:8" x14ac:dyDescent="0.3">
      <c r="A30" t="s">
        <v>10</v>
      </c>
      <c r="B30" t="s">
        <v>38</v>
      </c>
      <c r="C30" t="s">
        <v>24</v>
      </c>
      <c r="D30">
        <v>14010.59</v>
      </c>
      <c r="E30">
        <v>5133.6499999999996</v>
      </c>
      <c r="G30">
        <v>82</v>
      </c>
      <c r="H30" t="s">
        <v>37</v>
      </c>
    </row>
    <row r="31" spans="1:8" x14ac:dyDescent="0.3">
      <c r="A31" t="s">
        <v>12</v>
      </c>
      <c r="B31" t="s">
        <v>38</v>
      </c>
      <c r="C31" t="s">
        <v>24</v>
      </c>
      <c r="D31">
        <v>9551.49</v>
      </c>
      <c r="E31">
        <v>3402.32</v>
      </c>
      <c r="F31">
        <v>1284.8</v>
      </c>
      <c r="G31">
        <v>102</v>
      </c>
      <c r="H31" t="s">
        <v>37</v>
      </c>
    </row>
    <row r="32" spans="1:8" x14ac:dyDescent="0.3">
      <c r="A32" t="s">
        <v>10</v>
      </c>
      <c r="B32" t="s">
        <v>39</v>
      </c>
      <c r="C32" t="s">
        <v>26</v>
      </c>
      <c r="D32">
        <v>32293.24</v>
      </c>
      <c r="E32">
        <v>19246.21</v>
      </c>
      <c r="F32">
        <v>5894.5</v>
      </c>
      <c r="G32">
        <v>223</v>
      </c>
      <c r="H32" t="s">
        <v>37</v>
      </c>
    </row>
    <row r="33" spans="1:8" x14ac:dyDescent="0.3">
      <c r="A33" t="s">
        <v>12</v>
      </c>
      <c r="B33" t="s">
        <v>39</v>
      </c>
      <c r="C33" t="s">
        <v>26</v>
      </c>
      <c r="D33">
        <v>23593.51</v>
      </c>
      <c r="E33">
        <v>13037.18</v>
      </c>
      <c r="F33">
        <v>3401.5</v>
      </c>
      <c r="G33">
        <v>147</v>
      </c>
      <c r="H33" t="s">
        <v>37</v>
      </c>
    </row>
    <row r="34" spans="1:8" x14ac:dyDescent="0.3">
      <c r="A34" t="s">
        <v>10</v>
      </c>
      <c r="B34" t="s">
        <v>39</v>
      </c>
      <c r="C34" t="s">
        <v>19</v>
      </c>
      <c r="D34">
        <v>28276.79</v>
      </c>
      <c r="E34">
        <v>18192.22</v>
      </c>
      <c r="F34">
        <v>3653.13</v>
      </c>
      <c r="G34">
        <v>183</v>
      </c>
      <c r="H34" t="s">
        <v>37</v>
      </c>
    </row>
    <row r="35" spans="1:8" x14ac:dyDescent="0.3">
      <c r="A35" t="s">
        <v>12</v>
      </c>
      <c r="B35" t="s">
        <v>39</v>
      </c>
      <c r="C35" t="s">
        <v>19</v>
      </c>
      <c r="D35">
        <v>14680.18</v>
      </c>
      <c r="E35">
        <v>8963.7000000000007</v>
      </c>
      <c r="F35">
        <v>2201.7199999999998</v>
      </c>
      <c r="G35">
        <v>122</v>
      </c>
      <c r="H35" t="s">
        <v>37</v>
      </c>
    </row>
    <row r="36" spans="1:8" x14ac:dyDescent="0.3">
      <c r="A36" t="s">
        <v>10</v>
      </c>
      <c r="B36" t="s">
        <v>39</v>
      </c>
      <c r="C36" t="s">
        <v>33</v>
      </c>
      <c r="D36">
        <v>23549.73</v>
      </c>
      <c r="E36">
        <v>12790.85</v>
      </c>
      <c r="F36">
        <v>3341.57</v>
      </c>
      <c r="G36">
        <v>218</v>
      </c>
      <c r="H36" t="s">
        <v>37</v>
      </c>
    </row>
    <row r="37" spans="1:8" x14ac:dyDescent="0.3">
      <c r="A37" t="s">
        <v>12</v>
      </c>
      <c r="B37" t="s">
        <v>39</v>
      </c>
      <c r="C37" t="s">
        <v>33</v>
      </c>
      <c r="D37">
        <v>14131.57</v>
      </c>
      <c r="E37">
        <v>7945.66</v>
      </c>
      <c r="F37">
        <v>2761.08</v>
      </c>
      <c r="G37">
        <v>144</v>
      </c>
      <c r="H37" t="s">
        <v>37</v>
      </c>
    </row>
    <row r="38" spans="1:8" x14ac:dyDescent="0.3">
      <c r="A38" t="s">
        <v>10</v>
      </c>
      <c r="B38" t="s">
        <v>39</v>
      </c>
      <c r="C38" t="s">
        <v>28</v>
      </c>
      <c r="D38">
        <v>14449.38</v>
      </c>
      <c r="E38">
        <v>10173.799999999999</v>
      </c>
      <c r="F38">
        <v>2792.92</v>
      </c>
      <c r="G38">
        <v>93</v>
      </c>
      <c r="H38" t="s">
        <v>37</v>
      </c>
    </row>
    <row r="39" spans="1:8" x14ac:dyDescent="0.3">
      <c r="A39" t="s">
        <v>12</v>
      </c>
      <c r="B39" t="s">
        <v>39</v>
      </c>
      <c r="C39" t="s">
        <v>28</v>
      </c>
      <c r="D39">
        <v>9244.0300000000007</v>
      </c>
      <c r="E39">
        <v>6428.46</v>
      </c>
      <c r="F39">
        <v>1414.34</v>
      </c>
      <c r="G39">
        <v>57</v>
      </c>
      <c r="H39" t="s">
        <v>37</v>
      </c>
    </row>
    <row r="40" spans="1:8" x14ac:dyDescent="0.3">
      <c r="A40" t="s">
        <v>10</v>
      </c>
      <c r="B40" t="s">
        <v>39</v>
      </c>
      <c r="C40" t="s">
        <v>24</v>
      </c>
      <c r="D40">
        <v>18583.57</v>
      </c>
      <c r="E40">
        <v>6327.24</v>
      </c>
      <c r="F40">
        <v>3476.83</v>
      </c>
      <c r="G40">
        <v>163</v>
      </c>
      <c r="H40" t="s">
        <v>37</v>
      </c>
    </row>
    <row r="41" spans="1:8" x14ac:dyDescent="0.3">
      <c r="A41" t="s">
        <v>12</v>
      </c>
      <c r="B41" t="s">
        <v>39</v>
      </c>
      <c r="C41" t="s">
        <v>24</v>
      </c>
      <c r="D41">
        <v>13669.21</v>
      </c>
      <c r="E41">
        <v>4978.6400000000003</v>
      </c>
      <c r="F41">
        <v>2098.65</v>
      </c>
      <c r="G41">
        <v>90</v>
      </c>
      <c r="H41" t="s">
        <v>37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736BA-7B7E-4438-B7D5-197515300DDB}">
  <dimension ref="A1:H41"/>
  <sheetViews>
    <sheetView workbookViewId="0"/>
  </sheetViews>
  <sheetFormatPr defaultRowHeight="14.4" x14ac:dyDescent="0.3"/>
  <cols>
    <col min="1" max="1" width="13.21875" bestFit="1" customWidth="1"/>
    <col min="2" max="2" width="22.6640625" bestFit="1" customWidth="1"/>
    <col min="3" max="3" width="18.88671875" bestFit="1" customWidth="1"/>
    <col min="4" max="4" width="15" bestFit="1" customWidth="1"/>
    <col min="5" max="5" width="12.33203125" bestFit="1" customWidth="1"/>
    <col min="6" max="6" width="24" bestFit="1" customWidth="1"/>
    <col min="7" max="7" width="11.21875" bestFit="1" customWidth="1"/>
    <col min="8" max="8" width="9" bestFit="1" customWidth="1"/>
  </cols>
  <sheetData>
    <row r="1" spans="1:8" x14ac:dyDescent="0.3">
      <c r="A1" t="s">
        <v>0</v>
      </c>
      <c r="B1" t="s">
        <v>1</v>
      </c>
      <c r="C1" t="s">
        <v>2</v>
      </c>
      <c r="D1" t="s">
        <v>3</v>
      </c>
      <c r="E1" t="s">
        <v>4</v>
      </c>
      <c r="F1" t="s">
        <v>29</v>
      </c>
      <c r="G1" t="s">
        <v>6</v>
      </c>
      <c r="H1" t="s">
        <v>7</v>
      </c>
    </row>
    <row r="2" spans="1:8" x14ac:dyDescent="0.3">
      <c r="A2" t="s">
        <v>8</v>
      </c>
      <c r="B2" t="s">
        <v>9</v>
      </c>
      <c r="C2" t="s">
        <v>10</v>
      </c>
      <c r="D2">
        <v>36322.18</v>
      </c>
      <c r="E2">
        <v>20390.2</v>
      </c>
      <c r="F2">
        <v>5080.55</v>
      </c>
      <c r="G2">
        <v>194</v>
      </c>
      <c r="H2" t="s">
        <v>35</v>
      </c>
    </row>
    <row r="3" spans="1:8" x14ac:dyDescent="0.3">
      <c r="A3" t="s">
        <v>8</v>
      </c>
      <c r="B3" t="s">
        <v>9</v>
      </c>
      <c r="C3" t="s">
        <v>12</v>
      </c>
      <c r="D3">
        <v>25040.21</v>
      </c>
      <c r="E3">
        <v>14579.42</v>
      </c>
      <c r="F3">
        <v>4884.6000000000004</v>
      </c>
      <c r="G3">
        <v>168</v>
      </c>
      <c r="H3" t="s">
        <v>35</v>
      </c>
    </row>
    <row r="4" spans="1:8" x14ac:dyDescent="0.3">
      <c r="A4" t="s">
        <v>8</v>
      </c>
      <c r="B4" t="s">
        <v>13</v>
      </c>
      <c r="C4" t="s">
        <v>10</v>
      </c>
      <c r="D4">
        <v>30189.07</v>
      </c>
      <c r="E4">
        <v>19878.060000000001</v>
      </c>
      <c r="F4">
        <v>5608.71</v>
      </c>
      <c r="G4">
        <v>150</v>
      </c>
      <c r="H4" t="s">
        <v>35</v>
      </c>
    </row>
    <row r="5" spans="1:8" x14ac:dyDescent="0.3">
      <c r="A5" t="s">
        <v>8</v>
      </c>
      <c r="B5" t="s">
        <v>13</v>
      </c>
      <c r="C5" t="s">
        <v>12</v>
      </c>
      <c r="D5">
        <v>16680.64</v>
      </c>
      <c r="E5">
        <v>10747.04</v>
      </c>
      <c r="F5">
        <v>2112.39</v>
      </c>
      <c r="G5">
        <v>92</v>
      </c>
      <c r="H5" t="s">
        <v>35</v>
      </c>
    </row>
    <row r="6" spans="1:8" x14ac:dyDescent="0.3">
      <c r="A6" t="s">
        <v>8</v>
      </c>
      <c r="B6" t="s">
        <v>23</v>
      </c>
      <c r="C6" t="s">
        <v>10</v>
      </c>
      <c r="D6">
        <v>24356.23</v>
      </c>
      <c r="E6">
        <v>13087.02</v>
      </c>
      <c r="F6">
        <v>2937.59</v>
      </c>
      <c r="G6">
        <v>224</v>
      </c>
      <c r="H6" t="s">
        <v>35</v>
      </c>
    </row>
    <row r="7" spans="1:8" x14ac:dyDescent="0.3">
      <c r="A7" t="s">
        <v>8</v>
      </c>
      <c r="B7" t="s">
        <v>23</v>
      </c>
      <c r="C7" t="s">
        <v>12</v>
      </c>
      <c r="D7">
        <v>15407.28</v>
      </c>
      <c r="E7">
        <v>8813.17</v>
      </c>
      <c r="F7">
        <v>2595.21</v>
      </c>
      <c r="G7">
        <v>71</v>
      </c>
      <c r="H7" t="s">
        <v>35</v>
      </c>
    </row>
    <row r="8" spans="1:8" x14ac:dyDescent="0.3">
      <c r="A8" t="s">
        <v>8</v>
      </c>
      <c r="B8" t="s">
        <v>15</v>
      </c>
      <c r="C8" t="s">
        <v>10</v>
      </c>
      <c r="D8">
        <v>16294.2</v>
      </c>
      <c r="E8">
        <v>11738.81</v>
      </c>
      <c r="F8">
        <v>2731.45</v>
      </c>
      <c r="G8">
        <v>74</v>
      </c>
      <c r="H8" t="s">
        <v>35</v>
      </c>
    </row>
    <row r="9" spans="1:8" x14ac:dyDescent="0.3">
      <c r="A9" t="s">
        <v>8</v>
      </c>
      <c r="B9" t="s">
        <v>15</v>
      </c>
      <c r="C9" t="s">
        <v>12</v>
      </c>
      <c r="D9">
        <v>9913.48</v>
      </c>
      <c r="E9">
        <v>6608.64</v>
      </c>
      <c r="F9">
        <v>1565.32</v>
      </c>
      <c r="G9">
        <v>50</v>
      </c>
      <c r="H9" t="s">
        <v>35</v>
      </c>
    </row>
    <row r="10" spans="1:8" x14ac:dyDescent="0.3">
      <c r="A10" t="s">
        <v>8</v>
      </c>
      <c r="B10" t="s">
        <v>24</v>
      </c>
      <c r="C10" t="s">
        <v>10</v>
      </c>
      <c r="D10">
        <v>20503.099999999999</v>
      </c>
      <c r="E10">
        <v>7260.32</v>
      </c>
      <c r="F10">
        <v>3085.41</v>
      </c>
      <c r="G10">
        <v>207</v>
      </c>
      <c r="H10" t="s">
        <v>35</v>
      </c>
    </row>
    <row r="11" spans="1:8" x14ac:dyDescent="0.3">
      <c r="A11" t="s">
        <v>8</v>
      </c>
      <c r="B11" t="s">
        <v>24</v>
      </c>
      <c r="C11" t="s">
        <v>12</v>
      </c>
      <c r="D11">
        <v>15107.77</v>
      </c>
      <c r="E11">
        <v>5361.98</v>
      </c>
      <c r="F11">
        <v>2348.3200000000002</v>
      </c>
      <c r="G11">
        <v>96</v>
      </c>
      <c r="H11" t="s">
        <v>35</v>
      </c>
    </row>
    <row r="12" spans="1:8" x14ac:dyDescent="0.3">
      <c r="A12" t="s">
        <v>17</v>
      </c>
      <c r="B12" t="s">
        <v>9</v>
      </c>
      <c r="C12" t="s">
        <v>10</v>
      </c>
      <c r="D12">
        <v>56368.32</v>
      </c>
      <c r="E12">
        <v>26459.66</v>
      </c>
      <c r="F12">
        <v>8958.0300000000007</v>
      </c>
      <c r="G12">
        <v>288</v>
      </c>
      <c r="H12" t="s">
        <v>35</v>
      </c>
    </row>
    <row r="13" spans="1:8" x14ac:dyDescent="0.3">
      <c r="A13" t="s">
        <v>17</v>
      </c>
      <c r="B13" t="s">
        <v>9</v>
      </c>
      <c r="C13" t="s">
        <v>12</v>
      </c>
      <c r="D13">
        <v>31891.18</v>
      </c>
      <c r="E13">
        <v>14916.39</v>
      </c>
      <c r="F13">
        <v>3523.92</v>
      </c>
      <c r="G13">
        <v>256</v>
      </c>
      <c r="H13" t="s">
        <v>35</v>
      </c>
    </row>
    <row r="14" spans="1:8" x14ac:dyDescent="0.3">
      <c r="A14" t="s">
        <v>17</v>
      </c>
      <c r="B14" t="s">
        <v>13</v>
      </c>
      <c r="C14" t="s">
        <v>10</v>
      </c>
      <c r="D14">
        <v>41284.69</v>
      </c>
      <c r="E14">
        <v>21801.88</v>
      </c>
      <c r="F14">
        <v>5548.48</v>
      </c>
      <c r="G14">
        <v>307</v>
      </c>
      <c r="H14" t="s">
        <v>35</v>
      </c>
    </row>
    <row r="15" spans="1:8" x14ac:dyDescent="0.3">
      <c r="A15" t="s">
        <v>17</v>
      </c>
      <c r="B15" t="s">
        <v>13</v>
      </c>
      <c r="C15" t="s">
        <v>12</v>
      </c>
      <c r="D15">
        <v>23315.27</v>
      </c>
      <c r="E15">
        <v>12762.91</v>
      </c>
      <c r="F15">
        <v>3136.76</v>
      </c>
      <c r="G15">
        <v>240</v>
      </c>
      <c r="H15" t="s">
        <v>35</v>
      </c>
    </row>
    <row r="16" spans="1:8" x14ac:dyDescent="0.3">
      <c r="A16" t="s">
        <v>17</v>
      </c>
      <c r="B16" t="s">
        <v>23</v>
      </c>
      <c r="C16" t="s">
        <v>10</v>
      </c>
      <c r="D16">
        <v>32740.89</v>
      </c>
      <c r="E16">
        <v>15620.16</v>
      </c>
      <c r="F16">
        <v>4180.7299999999996</v>
      </c>
      <c r="G16">
        <v>199</v>
      </c>
      <c r="H16" t="s">
        <v>35</v>
      </c>
    </row>
    <row r="17" spans="1:8" x14ac:dyDescent="0.3">
      <c r="A17" t="s">
        <v>17</v>
      </c>
      <c r="B17" t="s">
        <v>23</v>
      </c>
      <c r="C17" t="s">
        <v>12</v>
      </c>
      <c r="D17">
        <v>22469.919999999998</v>
      </c>
      <c r="E17">
        <v>10824.59</v>
      </c>
      <c r="F17">
        <v>3356</v>
      </c>
      <c r="G17">
        <v>139</v>
      </c>
      <c r="H17" t="s">
        <v>35</v>
      </c>
    </row>
    <row r="18" spans="1:8" x14ac:dyDescent="0.3">
      <c r="A18" t="s">
        <v>17</v>
      </c>
      <c r="B18" t="s">
        <v>15</v>
      </c>
      <c r="C18" t="s">
        <v>10</v>
      </c>
      <c r="D18">
        <v>22226.03</v>
      </c>
      <c r="E18">
        <v>13361.72</v>
      </c>
      <c r="F18">
        <v>2399.29</v>
      </c>
      <c r="G18">
        <v>105</v>
      </c>
      <c r="H18" t="s">
        <v>35</v>
      </c>
    </row>
    <row r="19" spans="1:8" x14ac:dyDescent="0.3">
      <c r="A19" t="s">
        <v>17</v>
      </c>
      <c r="B19" t="s">
        <v>15</v>
      </c>
      <c r="C19" t="s">
        <v>12</v>
      </c>
      <c r="D19">
        <v>15318.3</v>
      </c>
      <c r="E19">
        <v>9201.4500000000007</v>
      </c>
      <c r="F19">
        <v>1939.69</v>
      </c>
      <c r="G19">
        <v>91</v>
      </c>
      <c r="H19" t="s">
        <v>35</v>
      </c>
    </row>
    <row r="20" spans="1:8" x14ac:dyDescent="0.3">
      <c r="A20" t="s">
        <v>17</v>
      </c>
      <c r="B20" t="s">
        <v>16</v>
      </c>
      <c r="C20" t="s">
        <v>10</v>
      </c>
      <c r="D20">
        <v>32457.63</v>
      </c>
      <c r="E20">
        <v>9313.6299999999992</v>
      </c>
      <c r="F20">
        <v>4370.93</v>
      </c>
      <c r="G20">
        <v>131</v>
      </c>
      <c r="H20" t="s">
        <v>35</v>
      </c>
    </row>
    <row r="21" spans="1:8" x14ac:dyDescent="0.3">
      <c r="A21" t="s">
        <v>17</v>
      </c>
      <c r="B21" t="s">
        <v>16</v>
      </c>
      <c r="C21" t="s">
        <v>12</v>
      </c>
      <c r="D21">
        <v>18687.43</v>
      </c>
      <c r="E21">
        <v>5732.55</v>
      </c>
      <c r="F21">
        <v>2207.11</v>
      </c>
      <c r="G21">
        <v>77</v>
      </c>
      <c r="H21" t="s">
        <v>35</v>
      </c>
    </row>
    <row r="22" spans="1:8" x14ac:dyDescent="0.3">
      <c r="A22" t="s">
        <v>22</v>
      </c>
      <c r="B22" t="s">
        <v>18</v>
      </c>
      <c r="C22" t="s">
        <v>10</v>
      </c>
      <c r="D22">
        <v>25709.599999999999</v>
      </c>
      <c r="E22">
        <v>15177.35</v>
      </c>
      <c r="F22">
        <v>4328.01</v>
      </c>
      <c r="G22">
        <v>117</v>
      </c>
      <c r="H22" t="s">
        <v>35</v>
      </c>
    </row>
    <row r="23" spans="1:8" x14ac:dyDescent="0.3">
      <c r="A23" t="s">
        <v>22</v>
      </c>
      <c r="B23" t="s">
        <v>18</v>
      </c>
      <c r="C23" t="s">
        <v>12</v>
      </c>
      <c r="D23">
        <v>16396.21</v>
      </c>
      <c r="E23">
        <v>9878.2900000000009</v>
      </c>
      <c r="F23">
        <v>2420.58</v>
      </c>
      <c r="G23">
        <v>94</v>
      </c>
      <c r="H23" t="s">
        <v>35</v>
      </c>
    </row>
    <row r="24" spans="1:8" x14ac:dyDescent="0.3">
      <c r="A24" t="s">
        <v>22</v>
      </c>
      <c r="B24" t="s">
        <v>13</v>
      </c>
      <c r="C24" t="s">
        <v>10</v>
      </c>
      <c r="D24">
        <v>21392.79</v>
      </c>
      <c r="E24">
        <v>13921.15</v>
      </c>
      <c r="F24">
        <v>3918.29</v>
      </c>
      <c r="G24">
        <v>183</v>
      </c>
      <c r="H24" t="s">
        <v>35</v>
      </c>
    </row>
    <row r="25" spans="1:8" x14ac:dyDescent="0.3">
      <c r="A25" t="s">
        <v>22</v>
      </c>
      <c r="B25" t="s">
        <v>13</v>
      </c>
      <c r="C25" t="s">
        <v>12</v>
      </c>
      <c r="D25">
        <v>12911.52</v>
      </c>
      <c r="E25">
        <v>8187.56</v>
      </c>
      <c r="F25">
        <v>2439.5100000000002</v>
      </c>
      <c r="G25">
        <v>0</v>
      </c>
      <c r="H25" t="s">
        <v>35</v>
      </c>
    </row>
    <row r="26" spans="1:8" x14ac:dyDescent="0.3">
      <c r="A26" t="s">
        <v>22</v>
      </c>
      <c r="B26" t="s">
        <v>33</v>
      </c>
      <c r="C26" t="s">
        <v>10</v>
      </c>
      <c r="D26">
        <v>15556.47</v>
      </c>
      <c r="E26">
        <v>8393.9500000000007</v>
      </c>
      <c r="F26">
        <v>2703.47</v>
      </c>
      <c r="G26">
        <v>84</v>
      </c>
      <c r="H26" t="s">
        <v>35</v>
      </c>
    </row>
    <row r="27" spans="1:8" x14ac:dyDescent="0.3">
      <c r="A27" t="s">
        <v>22</v>
      </c>
      <c r="B27" t="s">
        <v>33</v>
      </c>
      <c r="C27" t="s">
        <v>12</v>
      </c>
      <c r="D27">
        <v>10679.29</v>
      </c>
      <c r="E27">
        <v>5700.51</v>
      </c>
      <c r="F27">
        <v>1921.06</v>
      </c>
      <c r="G27">
        <v>58</v>
      </c>
      <c r="H27" t="s">
        <v>35</v>
      </c>
    </row>
    <row r="28" spans="1:8" x14ac:dyDescent="0.3">
      <c r="A28" t="s">
        <v>22</v>
      </c>
      <c r="B28" t="s">
        <v>15</v>
      </c>
      <c r="C28" t="s">
        <v>10</v>
      </c>
      <c r="D28">
        <v>12811.44</v>
      </c>
      <c r="E28">
        <v>9264.43</v>
      </c>
      <c r="F28">
        <v>2158.41</v>
      </c>
      <c r="G28">
        <v>106</v>
      </c>
      <c r="H28" t="s">
        <v>35</v>
      </c>
    </row>
    <row r="29" spans="1:8" x14ac:dyDescent="0.3">
      <c r="A29" t="s">
        <v>22</v>
      </c>
      <c r="B29" t="s">
        <v>15</v>
      </c>
      <c r="C29" t="s">
        <v>12</v>
      </c>
      <c r="D29">
        <v>8065.69</v>
      </c>
      <c r="E29">
        <v>5406.35</v>
      </c>
      <c r="F29">
        <v>988.51</v>
      </c>
      <c r="G29">
        <v>91</v>
      </c>
      <c r="H29" t="s">
        <v>35</v>
      </c>
    </row>
    <row r="30" spans="1:8" x14ac:dyDescent="0.3">
      <c r="A30" t="s">
        <v>22</v>
      </c>
      <c r="B30" t="s">
        <v>21</v>
      </c>
      <c r="C30" t="s">
        <v>10</v>
      </c>
      <c r="D30">
        <v>16737.22</v>
      </c>
      <c r="E30">
        <v>5909.58</v>
      </c>
      <c r="F30">
        <v>2403.6999999999998</v>
      </c>
      <c r="G30">
        <v>90</v>
      </c>
      <c r="H30" t="s">
        <v>35</v>
      </c>
    </row>
    <row r="31" spans="1:8" x14ac:dyDescent="0.3">
      <c r="A31" t="s">
        <v>22</v>
      </c>
      <c r="B31" t="s">
        <v>21</v>
      </c>
      <c r="C31" t="s">
        <v>12</v>
      </c>
      <c r="D31">
        <v>9405.02</v>
      </c>
      <c r="E31">
        <v>3183.87</v>
      </c>
      <c r="F31">
        <v>1475.33</v>
      </c>
      <c r="G31">
        <v>95</v>
      </c>
      <c r="H31" t="s">
        <v>35</v>
      </c>
    </row>
    <row r="32" spans="1:8" x14ac:dyDescent="0.3">
      <c r="A32" t="s">
        <v>25</v>
      </c>
      <c r="B32" t="s">
        <v>26</v>
      </c>
      <c r="C32" t="s">
        <v>10</v>
      </c>
      <c r="D32">
        <v>34496.94</v>
      </c>
      <c r="E32">
        <v>20132.04</v>
      </c>
      <c r="F32">
        <v>6112.98</v>
      </c>
      <c r="G32">
        <v>264</v>
      </c>
      <c r="H32" t="s">
        <v>35</v>
      </c>
    </row>
    <row r="33" spans="1:8" x14ac:dyDescent="0.3">
      <c r="A33" t="s">
        <v>25</v>
      </c>
      <c r="B33" t="s">
        <v>26</v>
      </c>
      <c r="C33" t="s">
        <v>12</v>
      </c>
      <c r="D33">
        <v>23568.57</v>
      </c>
      <c r="E33">
        <v>13942.82</v>
      </c>
      <c r="F33">
        <v>3174.52</v>
      </c>
      <c r="G33">
        <v>113</v>
      </c>
      <c r="H33" t="s">
        <v>35</v>
      </c>
    </row>
    <row r="34" spans="1:8" x14ac:dyDescent="0.3">
      <c r="A34" t="s">
        <v>25</v>
      </c>
      <c r="B34" t="s">
        <v>19</v>
      </c>
      <c r="C34" t="s">
        <v>10</v>
      </c>
      <c r="D34">
        <v>28067.3</v>
      </c>
      <c r="E34">
        <v>17920.59</v>
      </c>
      <c r="F34">
        <v>3748.63</v>
      </c>
      <c r="G34">
        <v>310</v>
      </c>
      <c r="H34" t="s">
        <v>35</v>
      </c>
    </row>
    <row r="35" spans="1:8" x14ac:dyDescent="0.3">
      <c r="A35" t="s">
        <v>25</v>
      </c>
      <c r="B35" t="s">
        <v>19</v>
      </c>
      <c r="C35" t="s">
        <v>12</v>
      </c>
      <c r="D35">
        <v>14697.67</v>
      </c>
      <c r="E35">
        <v>9246.36</v>
      </c>
      <c r="F35">
        <v>2344.7199999999998</v>
      </c>
      <c r="G35">
        <v>115</v>
      </c>
      <c r="H35" t="s">
        <v>35</v>
      </c>
    </row>
    <row r="36" spans="1:8" x14ac:dyDescent="0.3">
      <c r="A36" t="s">
        <v>25</v>
      </c>
      <c r="B36" t="s">
        <v>14</v>
      </c>
      <c r="C36" t="s">
        <v>10</v>
      </c>
      <c r="D36">
        <v>21661</v>
      </c>
      <c r="E36">
        <v>11332.18</v>
      </c>
      <c r="F36">
        <v>3152.26</v>
      </c>
      <c r="G36">
        <v>185</v>
      </c>
      <c r="H36" t="s">
        <v>35</v>
      </c>
    </row>
    <row r="37" spans="1:8" x14ac:dyDescent="0.3">
      <c r="A37" t="s">
        <v>25</v>
      </c>
      <c r="B37" t="s">
        <v>14</v>
      </c>
      <c r="C37" t="s">
        <v>12</v>
      </c>
      <c r="D37">
        <v>13883.74</v>
      </c>
      <c r="E37">
        <v>7290.72</v>
      </c>
      <c r="F37">
        <v>2233.9899999999998</v>
      </c>
      <c r="G37">
        <v>88</v>
      </c>
      <c r="H37" t="s">
        <v>35</v>
      </c>
    </row>
    <row r="38" spans="1:8" x14ac:dyDescent="0.3">
      <c r="A38" t="s">
        <v>25</v>
      </c>
      <c r="B38" t="s">
        <v>20</v>
      </c>
      <c r="C38" t="s">
        <v>10</v>
      </c>
      <c r="D38">
        <v>16584.16</v>
      </c>
      <c r="E38">
        <v>11513.39</v>
      </c>
      <c r="F38">
        <v>3058.59</v>
      </c>
      <c r="G38">
        <v>172</v>
      </c>
      <c r="H38" t="s">
        <v>35</v>
      </c>
    </row>
    <row r="39" spans="1:8" x14ac:dyDescent="0.3">
      <c r="A39" t="s">
        <v>25</v>
      </c>
      <c r="B39" t="s">
        <v>20</v>
      </c>
      <c r="C39" t="s">
        <v>12</v>
      </c>
      <c r="D39">
        <v>9706.01</v>
      </c>
      <c r="E39">
        <v>6834.77</v>
      </c>
      <c r="F39">
        <v>1318.65</v>
      </c>
      <c r="G39">
        <v>61</v>
      </c>
      <c r="H39" t="s">
        <v>35</v>
      </c>
    </row>
    <row r="40" spans="1:8" x14ac:dyDescent="0.3">
      <c r="A40" t="s">
        <v>25</v>
      </c>
      <c r="B40" t="s">
        <v>21</v>
      </c>
      <c r="C40" t="s">
        <v>10</v>
      </c>
      <c r="D40">
        <v>18472.46</v>
      </c>
      <c r="E40">
        <v>6580.36</v>
      </c>
      <c r="F40">
        <v>3287.73</v>
      </c>
      <c r="G40">
        <v>94</v>
      </c>
      <c r="H40" t="s">
        <v>35</v>
      </c>
    </row>
    <row r="41" spans="1:8" x14ac:dyDescent="0.3">
      <c r="A41" t="s">
        <v>25</v>
      </c>
      <c r="B41" t="s">
        <v>21</v>
      </c>
      <c r="C41" t="s">
        <v>12</v>
      </c>
      <c r="D41">
        <v>13253.14</v>
      </c>
      <c r="E41">
        <v>4706.6099999999997</v>
      </c>
      <c r="F41">
        <v>1766.98</v>
      </c>
      <c r="G41">
        <v>65</v>
      </c>
      <c r="H41" t="s">
        <v>35</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6AE6F-84AE-4F74-BB9B-BD9FE25E6A16}">
  <dimension ref="A1:H41"/>
  <sheetViews>
    <sheetView workbookViewId="0"/>
  </sheetViews>
  <sheetFormatPr defaultRowHeight="14.4" x14ac:dyDescent="0.3"/>
  <cols>
    <col min="1" max="1" width="10.5546875" bestFit="1" customWidth="1"/>
    <col min="2" max="2" width="22.6640625" bestFit="1" customWidth="1"/>
    <col min="3" max="3" width="18.88671875" bestFit="1" customWidth="1"/>
    <col min="4" max="4" width="15" bestFit="1" customWidth="1"/>
    <col min="5" max="5" width="12.33203125" bestFit="1" customWidth="1"/>
    <col min="6" max="6" width="24" bestFit="1" customWidth="1"/>
    <col min="7" max="7" width="11.21875" bestFit="1" customWidth="1"/>
    <col min="8" max="8" width="9" bestFit="1" customWidth="1"/>
  </cols>
  <sheetData>
    <row r="1" spans="1:8" x14ac:dyDescent="0.3">
      <c r="A1" t="s">
        <v>0</v>
      </c>
      <c r="B1" t="s">
        <v>1</v>
      </c>
      <c r="C1" t="s">
        <v>2</v>
      </c>
      <c r="D1" t="s">
        <v>3</v>
      </c>
      <c r="E1" t="s">
        <v>4</v>
      </c>
      <c r="F1" t="s">
        <v>29</v>
      </c>
      <c r="G1" t="s">
        <v>6</v>
      </c>
      <c r="H1" t="s">
        <v>7</v>
      </c>
    </row>
    <row r="2" spans="1:8" x14ac:dyDescent="0.3">
      <c r="A2" t="s">
        <v>30</v>
      </c>
      <c r="B2" t="s">
        <v>18</v>
      </c>
      <c r="C2" t="s">
        <v>10</v>
      </c>
      <c r="D2">
        <v>37404.230000000003</v>
      </c>
      <c r="E2">
        <v>20724.3</v>
      </c>
      <c r="F2">
        <v>5513.09</v>
      </c>
      <c r="G2">
        <v>223</v>
      </c>
      <c r="H2" t="s">
        <v>31</v>
      </c>
    </row>
    <row r="3" spans="1:8" x14ac:dyDescent="0.3">
      <c r="A3" t="s">
        <v>30</v>
      </c>
      <c r="B3" t="s">
        <v>18</v>
      </c>
      <c r="C3" t="s">
        <v>12</v>
      </c>
      <c r="D3">
        <v>22271.79</v>
      </c>
      <c r="E3">
        <v>12913.19</v>
      </c>
      <c r="F3">
        <v>4394.92</v>
      </c>
      <c r="G3">
        <v>0</v>
      </c>
      <c r="H3" t="s">
        <v>31</v>
      </c>
    </row>
    <row r="4" spans="1:8" x14ac:dyDescent="0.3">
      <c r="A4" t="s">
        <v>30</v>
      </c>
      <c r="B4" t="s">
        <v>19</v>
      </c>
      <c r="C4" t="s">
        <v>10</v>
      </c>
      <c r="D4">
        <v>30192.87</v>
      </c>
      <c r="E4">
        <v>19869.84</v>
      </c>
      <c r="F4">
        <v>6014.13</v>
      </c>
      <c r="G4">
        <v>189</v>
      </c>
      <c r="H4" t="s">
        <v>31</v>
      </c>
    </row>
    <row r="5" spans="1:8" x14ac:dyDescent="0.3">
      <c r="A5" t="s">
        <v>30</v>
      </c>
      <c r="B5" t="s">
        <v>19</v>
      </c>
      <c r="C5" t="s">
        <v>12</v>
      </c>
      <c r="D5">
        <v>19216.490000000002</v>
      </c>
      <c r="E5">
        <v>12761.51</v>
      </c>
      <c r="F5">
        <v>2554.15</v>
      </c>
      <c r="G5">
        <v>93</v>
      </c>
      <c r="H5" t="s">
        <v>31</v>
      </c>
    </row>
    <row r="6" spans="1:8" x14ac:dyDescent="0.3">
      <c r="A6" t="s">
        <v>30</v>
      </c>
      <c r="B6" t="s">
        <v>23</v>
      </c>
      <c r="C6" t="s">
        <v>10</v>
      </c>
      <c r="D6">
        <v>23912.95</v>
      </c>
      <c r="E6">
        <v>12554.49</v>
      </c>
      <c r="F6">
        <v>3628.12</v>
      </c>
      <c r="G6">
        <v>195</v>
      </c>
      <c r="H6" t="s">
        <v>31</v>
      </c>
    </row>
    <row r="7" spans="1:8" x14ac:dyDescent="0.3">
      <c r="A7" t="s">
        <v>30</v>
      </c>
      <c r="B7" t="s">
        <v>23</v>
      </c>
      <c r="C7" t="s">
        <v>12</v>
      </c>
      <c r="D7">
        <v>16707.87</v>
      </c>
      <c r="E7">
        <v>9473.91</v>
      </c>
      <c r="F7">
        <v>2400.23</v>
      </c>
      <c r="G7">
        <v>171</v>
      </c>
      <c r="H7" t="s">
        <v>31</v>
      </c>
    </row>
    <row r="8" spans="1:8" x14ac:dyDescent="0.3">
      <c r="A8" t="s">
        <v>30</v>
      </c>
      <c r="B8" t="s">
        <v>28</v>
      </c>
      <c r="C8" t="s">
        <v>10</v>
      </c>
      <c r="D8">
        <v>16305.19</v>
      </c>
      <c r="E8">
        <v>11623.13</v>
      </c>
      <c r="F8">
        <v>3060.91</v>
      </c>
      <c r="G8">
        <v>94</v>
      </c>
      <c r="H8" t="s">
        <v>31</v>
      </c>
    </row>
    <row r="9" spans="1:8" x14ac:dyDescent="0.3">
      <c r="A9" t="s">
        <v>30</v>
      </c>
      <c r="B9" t="s">
        <v>28</v>
      </c>
      <c r="C9" t="s">
        <v>12</v>
      </c>
      <c r="D9">
        <v>10655.49</v>
      </c>
      <c r="E9">
        <v>7287.79</v>
      </c>
      <c r="F9">
        <v>1471.85</v>
      </c>
      <c r="G9">
        <v>105</v>
      </c>
      <c r="H9" t="s">
        <v>31</v>
      </c>
    </row>
    <row r="10" spans="1:8" x14ac:dyDescent="0.3">
      <c r="A10" t="s">
        <v>30</v>
      </c>
      <c r="B10" t="s">
        <v>16</v>
      </c>
      <c r="C10" t="s">
        <v>10</v>
      </c>
      <c r="D10">
        <v>23135.200000000001</v>
      </c>
      <c r="E10">
        <v>8031.81</v>
      </c>
      <c r="F10">
        <v>4100.6899999999996</v>
      </c>
      <c r="G10">
        <v>122</v>
      </c>
      <c r="H10" t="s">
        <v>31</v>
      </c>
    </row>
    <row r="11" spans="1:8" x14ac:dyDescent="0.3">
      <c r="A11" t="s">
        <v>30</v>
      </c>
      <c r="B11" t="s">
        <v>16</v>
      </c>
      <c r="C11" t="s">
        <v>12</v>
      </c>
      <c r="D11">
        <v>12570.62</v>
      </c>
      <c r="E11">
        <v>4286.1000000000004</v>
      </c>
      <c r="G11">
        <v>63</v>
      </c>
      <c r="H11" t="s">
        <v>31</v>
      </c>
    </row>
    <row r="12" spans="1:8" x14ac:dyDescent="0.3">
      <c r="A12" t="s">
        <v>32</v>
      </c>
      <c r="B12" t="s">
        <v>18</v>
      </c>
      <c r="C12" t="s">
        <v>10</v>
      </c>
      <c r="D12">
        <v>48150.99</v>
      </c>
      <c r="E12">
        <v>24532.53</v>
      </c>
      <c r="F12">
        <v>6892.5</v>
      </c>
      <c r="G12">
        <v>456</v>
      </c>
      <c r="H12" t="s">
        <v>31</v>
      </c>
    </row>
    <row r="13" spans="1:8" x14ac:dyDescent="0.3">
      <c r="A13" t="s">
        <v>32</v>
      </c>
      <c r="B13" t="s">
        <v>18</v>
      </c>
      <c r="C13" t="s">
        <v>12</v>
      </c>
      <c r="D13">
        <v>34203.61</v>
      </c>
      <c r="E13">
        <v>16085.27</v>
      </c>
      <c r="F13">
        <v>5593.68</v>
      </c>
      <c r="G13">
        <v>338</v>
      </c>
      <c r="H13" t="s">
        <v>31</v>
      </c>
    </row>
    <row r="14" spans="1:8" x14ac:dyDescent="0.3">
      <c r="A14" t="s">
        <v>32</v>
      </c>
      <c r="B14" t="s">
        <v>27</v>
      </c>
      <c r="C14" t="s">
        <v>10</v>
      </c>
      <c r="D14">
        <v>35097.019999999997</v>
      </c>
      <c r="E14">
        <v>19042.25</v>
      </c>
      <c r="F14">
        <v>4344.5200000000004</v>
      </c>
      <c r="G14">
        <v>299</v>
      </c>
      <c r="H14" t="s">
        <v>31</v>
      </c>
    </row>
    <row r="15" spans="1:8" x14ac:dyDescent="0.3">
      <c r="A15" t="s">
        <v>32</v>
      </c>
      <c r="B15" t="s">
        <v>27</v>
      </c>
      <c r="C15" t="s">
        <v>12</v>
      </c>
      <c r="D15">
        <v>23987.91</v>
      </c>
      <c r="E15">
        <v>12556.11</v>
      </c>
      <c r="F15">
        <v>3342.8</v>
      </c>
      <c r="G15">
        <v>184</v>
      </c>
      <c r="H15" t="s">
        <v>31</v>
      </c>
    </row>
    <row r="16" spans="1:8" x14ac:dyDescent="0.3">
      <c r="A16" t="s">
        <v>32</v>
      </c>
      <c r="B16" t="s">
        <v>33</v>
      </c>
      <c r="C16" t="s">
        <v>10</v>
      </c>
      <c r="D16">
        <v>36130.04</v>
      </c>
      <c r="E16">
        <v>16153.68</v>
      </c>
      <c r="F16">
        <v>4798.1099999999997</v>
      </c>
      <c r="G16">
        <v>147</v>
      </c>
      <c r="H16" t="s">
        <v>31</v>
      </c>
    </row>
    <row r="17" spans="1:8" x14ac:dyDescent="0.3">
      <c r="A17" t="s">
        <v>32</v>
      </c>
      <c r="B17" t="s">
        <v>33</v>
      </c>
      <c r="C17" t="s">
        <v>12</v>
      </c>
      <c r="D17">
        <v>19497.11</v>
      </c>
      <c r="E17">
        <v>9025.5300000000007</v>
      </c>
      <c r="F17">
        <v>3015.65</v>
      </c>
      <c r="G17">
        <v>78</v>
      </c>
      <c r="H17" t="s">
        <v>31</v>
      </c>
    </row>
    <row r="18" spans="1:8" x14ac:dyDescent="0.3">
      <c r="A18" t="s">
        <v>32</v>
      </c>
      <c r="B18" t="s">
        <v>20</v>
      </c>
      <c r="C18" t="s">
        <v>10</v>
      </c>
      <c r="D18">
        <v>23629.57</v>
      </c>
      <c r="E18">
        <v>14159.81</v>
      </c>
      <c r="F18">
        <v>3051.59</v>
      </c>
      <c r="G18">
        <v>129</v>
      </c>
      <c r="H18" t="s">
        <v>31</v>
      </c>
    </row>
    <row r="19" spans="1:8" x14ac:dyDescent="0.3">
      <c r="A19" t="s">
        <v>32</v>
      </c>
      <c r="B19" t="s">
        <v>20</v>
      </c>
      <c r="C19" t="s">
        <v>12</v>
      </c>
      <c r="D19">
        <v>15481.64</v>
      </c>
      <c r="E19">
        <v>8955.85</v>
      </c>
      <c r="F19">
        <v>1757.97</v>
      </c>
      <c r="G19">
        <v>68</v>
      </c>
      <c r="H19" t="s">
        <v>31</v>
      </c>
    </row>
    <row r="20" spans="1:8" x14ac:dyDescent="0.3">
      <c r="A20" t="s">
        <v>32</v>
      </c>
      <c r="B20" t="s">
        <v>24</v>
      </c>
      <c r="C20" t="s">
        <v>10</v>
      </c>
      <c r="D20">
        <v>28604.55</v>
      </c>
      <c r="E20">
        <v>8770.83</v>
      </c>
      <c r="F20">
        <v>4159.5200000000004</v>
      </c>
      <c r="G20">
        <v>226</v>
      </c>
      <c r="H20" t="s">
        <v>31</v>
      </c>
    </row>
    <row r="21" spans="1:8" x14ac:dyDescent="0.3">
      <c r="A21" t="s">
        <v>32</v>
      </c>
      <c r="B21" t="s">
        <v>24</v>
      </c>
      <c r="C21" t="s">
        <v>12</v>
      </c>
      <c r="D21">
        <v>16745.23</v>
      </c>
      <c r="E21">
        <v>4940</v>
      </c>
      <c r="F21">
        <v>1909.51</v>
      </c>
      <c r="G21">
        <v>107</v>
      </c>
      <c r="H21" t="s">
        <v>31</v>
      </c>
    </row>
    <row r="22" spans="1:8" x14ac:dyDescent="0.3">
      <c r="A22" t="s">
        <v>22</v>
      </c>
      <c r="B22" t="s">
        <v>9</v>
      </c>
      <c r="C22" t="s">
        <v>10</v>
      </c>
      <c r="D22">
        <v>27045.88</v>
      </c>
      <c r="E22">
        <v>15213.05</v>
      </c>
      <c r="F22">
        <v>3366.14</v>
      </c>
      <c r="G22">
        <v>126</v>
      </c>
      <c r="H22" t="s">
        <v>31</v>
      </c>
    </row>
    <row r="23" spans="1:8" x14ac:dyDescent="0.3">
      <c r="A23" t="s">
        <v>22</v>
      </c>
      <c r="B23" t="s">
        <v>9</v>
      </c>
      <c r="C23" t="s">
        <v>12</v>
      </c>
      <c r="D23">
        <v>15383.15</v>
      </c>
      <c r="E23">
        <v>9244.4599999999991</v>
      </c>
      <c r="F23">
        <v>1868.2</v>
      </c>
      <c r="G23">
        <v>72</v>
      </c>
      <c r="H23" t="s">
        <v>31</v>
      </c>
    </row>
    <row r="24" spans="1:8" x14ac:dyDescent="0.3">
      <c r="A24" t="s">
        <v>22</v>
      </c>
      <c r="B24" t="s">
        <v>13</v>
      </c>
      <c r="C24" t="s">
        <v>10</v>
      </c>
      <c r="D24">
        <v>20950.240000000002</v>
      </c>
      <c r="E24">
        <v>12766.62</v>
      </c>
      <c r="F24">
        <v>2808.91</v>
      </c>
      <c r="G24">
        <v>188</v>
      </c>
      <c r="H24" t="s">
        <v>31</v>
      </c>
    </row>
    <row r="25" spans="1:8" x14ac:dyDescent="0.3">
      <c r="A25" t="s">
        <v>22</v>
      </c>
      <c r="B25" t="s">
        <v>13</v>
      </c>
      <c r="C25" t="s">
        <v>12</v>
      </c>
      <c r="D25">
        <v>11334.74</v>
      </c>
      <c r="E25">
        <v>6892.06</v>
      </c>
      <c r="F25">
        <v>1463.51</v>
      </c>
      <c r="G25">
        <v>80</v>
      </c>
      <c r="H25" t="s">
        <v>31</v>
      </c>
    </row>
    <row r="26" spans="1:8" x14ac:dyDescent="0.3">
      <c r="A26" t="s">
        <v>22</v>
      </c>
      <c r="B26" t="s">
        <v>23</v>
      </c>
      <c r="C26" t="s">
        <v>10</v>
      </c>
      <c r="D26">
        <v>17270.22</v>
      </c>
      <c r="E26">
        <v>9554.0400000000009</v>
      </c>
      <c r="F26">
        <v>2591.6999999999998</v>
      </c>
      <c r="G26">
        <v>109</v>
      </c>
      <c r="H26" t="s">
        <v>31</v>
      </c>
    </row>
    <row r="27" spans="1:8" x14ac:dyDescent="0.3">
      <c r="A27" t="s">
        <v>22</v>
      </c>
      <c r="B27" t="s">
        <v>23</v>
      </c>
      <c r="C27" t="s">
        <v>12</v>
      </c>
      <c r="D27">
        <v>10464.92</v>
      </c>
      <c r="E27">
        <v>5535.09</v>
      </c>
      <c r="F27">
        <v>1700.48</v>
      </c>
      <c r="G27">
        <v>117</v>
      </c>
      <c r="H27" t="s">
        <v>31</v>
      </c>
    </row>
    <row r="28" spans="1:8" x14ac:dyDescent="0.3">
      <c r="A28" t="s">
        <v>22</v>
      </c>
      <c r="B28" t="s">
        <v>15</v>
      </c>
      <c r="C28" t="s">
        <v>10</v>
      </c>
      <c r="D28">
        <v>11193.2</v>
      </c>
      <c r="E28">
        <v>8130.08</v>
      </c>
      <c r="F28">
        <v>1899.57</v>
      </c>
      <c r="G28">
        <v>98</v>
      </c>
      <c r="H28" t="s">
        <v>31</v>
      </c>
    </row>
    <row r="29" spans="1:8" x14ac:dyDescent="0.3">
      <c r="A29" t="s">
        <v>22</v>
      </c>
      <c r="B29" t="s">
        <v>15</v>
      </c>
      <c r="C29" t="s">
        <v>12</v>
      </c>
      <c r="D29">
        <v>6865.62</v>
      </c>
      <c r="E29">
        <v>4923.0600000000004</v>
      </c>
      <c r="F29">
        <v>866.52</v>
      </c>
      <c r="G29">
        <v>51</v>
      </c>
      <c r="H29" t="s">
        <v>31</v>
      </c>
    </row>
    <row r="30" spans="1:8" x14ac:dyDescent="0.3">
      <c r="A30" t="s">
        <v>22</v>
      </c>
      <c r="B30" t="s">
        <v>21</v>
      </c>
      <c r="C30" t="s">
        <v>10</v>
      </c>
      <c r="D30">
        <v>15180.47</v>
      </c>
      <c r="E30">
        <v>5469.38</v>
      </c>
      <c r="F30">
        <v>2738.07</v>
      </c>
      <c r="G30">
        <v>100</v>
      </c>
      <c r="H30" t="s">
        <v>31</v>
      </c>
    </row>
    <row r="31" spans="1:8" x14ac:dyDescent="0.3">
      <c r="A31" t="s">
        <v>22</v>
      </c>
      <c r="B31" t="s">
        <v>21</v>
      </c>
      <c r="C31" t="s">
        <v>12</v>
      </c>
      <c r="D31">
        <v>10411.379999999999</v>
      </c>
      <c r="E31">
        <v>3777.62</v>
      </c>
      <c r="F31">
        <v>2012.42</v>
      </c>
      <c r="G31">
        <v>76</v>
      </c>
      <c r="H31" t="s">
        <v>31</v>
      </c>
    </row>
    <row r="32" spans="1:8" x14ac:dyDescent="0.3">
      <c r="A32" t="s">
        <v>34</v>
      </c>
      <c r="B32" t="s">
        <v>9</v>
      </c>
      <c r="C32" t="s">
        <v>10</v>
      </c>
      <c r="D32">
        <v>36992.49</v>
      </c>
      <c r="E32">
        <v>21109.11</v>
      </c>
      <c r="F32">
        <v>6201</v>
      </c>
      <c r="G32">
        <v>208</v>
      </c>
      <c r="H32" t="s">
        <v>31</v>
      </c>
    </row>
    <row r="33" spans="1:8" x14ac:dyDescent="0.3">
      <c r="A33" t="s">
        <v>34</v>
      </c>
      <c r="B33" t="s">
        <v>9</v>
      </c>
      <c r="C33" t="s">
        <v>12</v>
      </c>
      <c r="D33">
        <v>20416.98</v>
      </c>
      <c r="E33">
        <v>11735.29</v>
      </c>
      <c r="G33">
        <v>118</v>
      </c>
      <c r="H33" t="s">
        <v>31</v>
      </c>
    </row>
    <row r="34" spans="1:8" x14ac:dyDescent="0.3">
      <c r="A34" t="s">
        <v>34</v>
      </c>
      <c r="B34" t="s">
        <v>13</v>
      </c>
      <c r="C34" t="s">
        <v>10</v>
      </c>
      <c r="D34">
        <v>27598.98</v>
      </c>
      <c r="E34">
        <v>17165.36</v>
      </c>
      <c r="F34">
        <v>4786.25</v>
      </c>
      <c r="G34">
        <v>0</v>
      </c>
      <c r="H34" t="s">
        <v>31</v>
      </c>
    </row>
    <row r="35" spans="1:8" x14ac:dyDescent="0.3">
      <c r="A35" t="s">
        <v>34</v>
      </c>
      <c r="B35" t="s">
        <v>13</v>
      </c>
      <c r="C35" t="s">
        <v>12</v>
      </c>
      <c r="D35">
        <v>17702.55</v>
      </c>
      <c r="E35">
        <v>11088.17</v>
      </c>
      <c r="F35">
        <v>3310.95</v>
      </c>
      <c r="G35">
        <v>90</v>
      </c>
      <c r="H35" t="s">
        <v>31</v>
      </c>
    </row>
    <row r="36" spans="1:8" x14ac:dyDescent="0.3">
      <c r="A36" t="s">
        <v>34</v>
      </c>
      <c r="B36" t="s">
        <v>14</v>
      </c>
      <c r="C36" t="s">
        <v>10</v>
      </c>
      <c r="D36">
        <v>22296.12</v>
      </c>
      <c r="E36">
        <v>12029.58</v>
      </c>
      <c r="F36">
        <v>3005.04</v>
      </c>
      <c r="G36">
        <v>160</v>
      </c>
      <c r="H36" t="s">
        <v>31</v>
      </c>
    </row>
    <row r="37" spans="1:8" x14ac:dyDescent="0.3">
      <c r="A37" t="s">
        <v>34</v>
      </c>
      <c r="B37" t="s">
        <v>14</v>
      </c>
      <c r="C37" t="s">
        <v>12</v>
      </c>
      <c r="D37">
        <v>15446.78</v>
      </c>
      <c r="E37">
        <v>8329.1200000000008</v>
      </c>
      <c r="F37">
        <v>2902.6</v>
      </c>
      <c r="G37">
        <v>84</v>
      </c>
      <c r="H37" t="s">
        <v>31</v>
      </c>
    </row>
    <row r="38" spans="1:8" x14ac:dyDescent="0.3">
      <c r="A38" t="s">
        <v>34</v>
      </c>
      <c r="B38" t="s">
        <v>20</v>
      </c>
      <c r="C38" t="s">
        <v>10</v>
      </c>
      <c r="D38">
        <v>16753.41</v>
      </c>
      <c r="E38">
        <v>12112.52</v>
      </c>
      <c r="F38">
        <v>2346.5700000000002</v>
      </c>
      <c r="G38">
        <v>124</v>
      </c>
      <c r="H38" t="s">
        <v>31</v>
      </c>
    </row>
    <row r="39" spans="1:8" x14ac:dyDescent="0.3">
      <c r="A39" t="s">
        <v>34</v>
      </c>
      <c r="B39" t="s">
        <v>20</v>
      </c>
      <c r="C39" t="s">
        <v>12</v>
      </c>
      <c r="D39">
        <v>9411.42</v>
      </c>
      <c r="E39">
        <v>6915.3</v>
      </c>
      <c r="F39">
        <v>1708.83</v>
      </c>
      <c r="G39">
        <v>76</v>
      </c>
      <c r="H39" t="s">
        <v>31</v>
      </c>
    </row>
    <row r="40" spans="1:8" x14ac:dyDescent="0.3">
      <c r="A40" t="s">
        <v>34</v>
      </c>
      <c r="B40" t="s">
        <v>21</v>
      </c>
      <c r="C40" t="s">
        <v>10</v>
      </c>
      <c r="D40">
        <v>18887.37</v>
      </c>
      <c r="E40">
        <v>6467.28</v>
      </c>
      <c r="F40">
        <v>2554.06</v>
      </c>
      <c r="G40">
        <v>124</v>
      </c>
      <c r="H40" t="s">
        <v>31</v>
      </c>
    </row>
    <row r="41" spans="1:8" x14ac:dyDescent="0.3">
      <c r="A41" t="s">
        <v>34</v>
      </c>
      <c r="B41" t="s">
        <v>21</v>
      </c>
      <c r="C41" t="s">
        <v>12</v>
      </c>
      <c r="D41">
        <v>12234.75</v>
      </c>
      <c r="E41">
        <v>4289.04</v>
      </c>
      <c r="G41">
        <v>86</v>
      </c>
      <c r="H41" t="s">
        <v>31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E8EA9-01A9-4994-947D-25160DFC6F0C}">
  <dimension ref="A1:H41"/>
  <sheetViews>
    <sheetView workbookViewId="0"/>
  </sheetViews>
  <sheetFormatPr defaultRowHeight="14.4" x14ac:dyDescent="0.3"/>
  <cols>
    <col min="1" max="1" width="13.21875" bestFit="1" customWidth="1"/>
    <col min="2" max="2" width="22.6640625" bestFit="1" customWidth="1"/>
    <col min="3" max="3" width="18.88671875" bestFit="1" customWidth="1"/>
    <col min="4" max="4" width="15" bestFit="1" customWidth="1"/>
    <col min="5" max="5" width="12.33203125" bestFit="1" customWidth="1"/>
    <col min="6" max="6" width="23.21875" bestFit="1" customWidth="1"/>
    <col min="7" max="7" width="11.21875" bestFit="1" customWidth="1"/>
    <col min="8" max="8" width="9.6640625" bestFit="1" customWidth="1"/>
  </cols>
  <sheetData>
    <row r="1" spans="1:8" x14ac:dyDescent="0.3">
      <c r="A1" t="s">
        <v>0</v>
      </c>
      <c r="B1" t="s">
        <v>1</v>
      </c>
      <c r="C1" t="s">
        <v>2</v>
      </c>
      <c r="D1" t="s">
        <v>3</v>
      </c>
      <c r="E1" t="s">
        <v>4</v>
      </c>
      <c r="F1" t="s">
        <v>5</v>
      </c>
      <c r="G1" t="s">
        <v>6</v>
      </c>
      <c r="H1" t="s">
        <v>7</v>
      </c>
    </row>
    <row r="2" spans="1:8" x14ac:dyDescent="0.3">
      <c r="A2" t="s">
        <v>8</v>
      </c>
      <c r="B2" t="s">
        <v>9</v>
      </c>
      <c r="C2" t="s">
        <v>10</v>
      </c>
      <c r="D2">
        <v>34865.629999999997</v>
      </c>
      <c r="E2">
        <v>20092.59</v>
      </c>
      <c r="F2">
        <v>6824.15</v>
      </c>
      <c r="G2">
        <v>177</v>
      </c>
      <c r="H2" t="s">
        <v>11</v>
      </c>
    </row>
    <row r="3" spans="1:8" x14ac:dyDescent="0.3">
      <c r="A3" t="s">
        <v>8</v>
      </c>
      <c r="B3" t="s">
        <v>9</v>
      </c>
      <c r="C3" t="s">
        <v>12</v>
      </c>
      <c r="D3">
        <v>25518.799999999999</v>
      </c>
      <c r="E3">
        <v>15441.63</v>
      </c>
      <c r="F3">
        <v>4180.59</v>
      </c>
      <c r="G3">
        <v>119</v>
      </c>
      <c r="H3" t="s">
        <v>11</v>
      </c>
    </row>
    <row r="4" spans="1:8" x14ac:dyDescent="0.3">
      <c r="A4" t="s">
        <v>8</v>
      </c>
      <c r="B4" t="s">
        <v>13</v>
      </c>
      <c r="C4" t="s">
        <v>10</v>
      </c>
      <c r="D4">
        <v>26312.44</v>
      </c>
      <c r="E4">
        <v>16989.400000000001</v>
      </c>
      <c r="F4">
        <v>3554.93</v>
      </c>
      <c r="G4">
        <v>123</v>
      </c>
      <c r="H4" t="s">
        <v>11</v>
      </c>
    </row>
    <row r="5" spans="1:8" x14ac:dyDescent="0.3">
      <c r="A5" t="s">
        <v>8</v>
      </c>
      <c r="B5" t="s">
        <v>13</v>
      </c>
      <c r="C5" t="s">
        <v>12</v>
      </c>
      <c r="D5">
        <v>17275.71</v>
      </c>
      <c r="E5">
        <v>11582.57</v>
      </c>
      <c r="F5">
        <v>3397.34</v>
      </c>
      <c r="G5">
        <v>92</v>
      </c>
      <c r="H5" t="s">
        <v>11</v>
      </c>
    </row>
    <row r="6" spans="1:8" x14ac:dyDescent="0.3">
      <c r="A6" t="s">
        <v>8</v>
      </c>
      <c r="B6" t="s">
        <v>14</v>
      </c>
      <c r="C6" t="s">
        <v>10</v>
      </c>
      <c r="D6">
        <v>27295.22</v>
      </c>
      <c r="E6">
        <v>14582.06</v>
      </c>
      <c r="F6">
        <v>4920.46</v>
      </c>
      <c r="G6">
        <v>258</v>
      </c>
      <c r="H6" t="s">
        <v>11</v>
      </c>
    </row>
    <row r="7" spans="1:8" x14ac:dyDescent="0.3">
      <c r="A7" t="s">
        <v>8</v>
      </c>
      <c r="B7" t="s">
        <v>14</v>
      </c>
      <c r="C7" t="s">
        <v>12</v>
      </c>
      <c r="D7">
        <v>15111.26</v>
      </c>
      <c r="E7">
        <v>8655.65</v>
      </c>
      <c r="F7">
        <v>2221.54</v>
      </c>
      <c r="G7">
        <v>124</v>
      </c>
      <c r="H7" t="s">
        <v>11</v>
      </c>
    </row>
    <row r="8" spans="1:8" x14ac:dyDescent="0.3">
      <c r="A8" t="s">
        <v>8</v>
      </c>
      <c r="B8" t="s">
        <v>15</v>
      </c>
      <c r="C8" t="s">
        <v>10</v>
      </c>
      <c r="D8">
        <v>19070.87</v>
      </c>
      <c r="E8">
        <v>13779.5</v>
      </c>
      <c r="F8">
        <v>3716.52</v>
      </c>
      <c r="G8">
        <v>173</v>
      </c>
      <c r="H8" t="s">
        <v>11</v>
      </c>
    </row>
    <row r="9" spans="1:8" x14ac:dyDescent="0.3">
      <c r="A9" t="s">
        <v>8</v>
      </c>
      <c r="B9" t="s">
        <v>15</v>
      </c>
      <c r="C9" t="s">
        <v>12</v>
      </c>
      <c r="D9">
        <v>10449.459999999999</v>
      </c>
      <c r="E9">
        <v>7545</v>
      </c>
      <c r="F9">
        <v>1562.23</v>
      </c>
      <c r="G9">
        <v>98</v>
      </c>
      <c r="H9" t="s">
        <v>11</v>
      </c>
    </row>
    <row r="10" spans="1:8" x14ac:dyDescent="0.3">
      <c r="A10" t="s">
        <v>8</v>
      </c>
      <c r="B10" t="s">
        <v>16</v>
      </c>
      <c r="C10" t="s">
        <v>10</v>
      </c>
      <c r="D10">
        <v>23348.41</v>
      </c>
      <c r="E10">
        <v>8155.68</v>
      </c>
      <c r="F10">
        <v>3725.05</v>
      </c>
      <c r="G10">
        <v>160</v>
      </c>
      <c r="H10" t="s">
        <v>11</v>
      </c>
    </row>
    <row r="11" spans="1:8" x14ac:dyDescent="0.3">
      <c r="A11" t="s">
        <v>8</v>
      </c>
      <c r="B11" t="s">
        <v>16</v>
      </c>
      <c r="C11" t="s">
        <v>12</v>
      </c>
      <c r="D11">
        <v>13336.24</v>
      </c>
      <c r="E11">
        <v>4892.17</v>
      </c>
      <c r="F11">
        <v>1630.48</v>
      </c>
      <c r="G11">
        <v>95</v>
      </c>
      <c r="H11" t="s">
        <v>11</v>
      </c>
    </row>
    <row r="12" spans="1:8" x14ac:dyDescent="0.3">
      <c r="A12" t="s">
        <v>17</v>
      </c>
      <c r="B12" t="s">
        <v>18</v>
      </c>
      <c r="C12" t="s">
        <v>10</v>
      </c>
      <c r="D12">
        <v>40840.050000000003</v>
      </c>
      <c r="E12">
        <v>23353.1</v>
      </c>
      <c r="F12">
        <v>6827.1</v>
      </c>
      <c r="G12">
        <v>234</v>
      </c>
      <c r="H12" t="s">
        <v>11</v>
      </c>
    </row>
    <row r="13" spans="1:8" x14ac:dyDescent="0.3">
      <c r="A13" t="s">
        <v>17</v>
      </c>
      <c r="B13" t="s">
        <v>18</v>
      </c>
      <c r="C13" t="s">
        <v>12</v>
      </c>
      <c r="D13">
        <v>29451.22</v>
      </c>
      <c r="E13">
        <v>17824.93</v>
      </c>
      <c r="F13">
        <v>4159.2299999999996</v>
      </c>
      <c r="G13">
        <v>284</v>
      </c>
      <c r="H13" t="s">
        <v>11</v>
      </c>
    </row>
    <row r="14" spans="1:8" x14ac:dyDescent="0.3">
      <c r="A14" t="s">
        <v>17</v>
      </c>
      <c r="B14" t="s">
        <v>19</v>
      </c>
      <c r="C14" t="s">
        <v>10</v>
      </c>
      <c r="D14">
        <v>29523.91</v>
      </c>
      <c r="E14">
        <v>19213.22</v>
      </c>
      <c r="F14">
        <v>3713.07</v>
      </c>
      <c r="G14">
        <v>322</v>
      </c>
      <c r="H14" t="s">
        <v>11</v>
      </c>
    </row>
    <row r="15" spans="1:8" x14ac:dyDescent="0.3">
      <c r="A15" t="s">
        <v>17</v>
      </c>
      <c r="B15" t="s">
        <v>19</v>
      </c>
      <c r="C15" t="s">
        <v>12</v>
      </c>
      <c r="D15">
        <v>21609.119999999999</v>
      </c>
      <c r="E15">
        <v>14489.42</v>
      </c>
      <c r="F15">
        <v>4076.71</v>
      </c>
      <c r="G15">
        <v>246</v>
      </c>
      <c r="H15" t="s">
        <v>11</v>
      </c>
    </row>
    <row r="16" spans="1:8" x14ac:dyDescent="0.3">
      <c r="A16" t="s">
        <v>17</v>
      </c>
      <c r="B16" t="s">
        <v>14</v>
      </c>
      <c r="C16" t="s">
        <v>10</v>
      </c>
      <c r="D16">
        <v>27499.33</v>
      </c>
      <c r="E16">
        <v>15641.98</v>
      </c>
      <c r="F16">
        <v>3315.84</v>
      </c>
      <c r="G16">
        <v>215</v>
      </c>
      <c r="H16" t="s">
        <v>11</v>
      </c>
    </row>
    <row r="17" spans="1:8" x14ac:dyDescent="0.3">
      <c r="A17" t="s">
        <v>17</v>
      </c>
      <c r="B17" t="s">
        <v>14</v>
      </c>
      <c r="C17" t="s">
        <v>12</v>
      </c>
      <c r="D17">
        <v>18375.46</v>
      </c>
      <c r="E17">
        <v>9781.8700000000008</v>
      </c>
      <c r="G17">
        <v>114</v>
      </c>
      <c r="H17" t="s">
        <v>11</v>
      </c>
    </row>
    <row r="18" spans="1:8" x14ac:dyDescent="0.3">
      <c r="A18" t="s">
        <v>17</v>
      </c>
      <c r="B18" t="s">
        <v>20</v>
      </c>
      <c r="C18" t="s">
        <v>10</v>
      </c>
      <c r="D18">
        <v>18397.52</v>
      </c>
      <c r="E18">
        <v>12627.4</v>
      </c>
      <c r="F18">
        <v>2728.04</v>
      </c>
      <c r="G18">
        <v>183</v>
      </c>
      <c r="H18" t="s">
        <v>11</v>
      </c>
    </row>
    <row r="19" spans="1:8" x14ac:dyDescent="0.3">
      <c r="A19" t="s">
        <v>17</v>
      </c>
      <c r="B19" t="s">
        <v>20</v>
      </c>
      <c r="C19" t="s">
        <v>12</v>
      </c>
      <c r="D19">
        <v>12543.43</v>
      </c>
      <c r="E19">
        <v>8558.4699999999993</v>
      </c>
      <c r="F19">
        <v>2434.21</v>
      </c>
      <c r="G19">
        <v>141</v>
      </c>
      <c r="H19" t="s">
        <v>11</v>
      </c>
    </row>
    <row r="20" spans="1:8" x14ac:dyDescent="0.3">
      <c r="A20" t="s">
        <v>17</v>
      </c>
      <c r="B20" t="s">
        <v>21</v>
      </c>
      <c r="C20" t="s">
        <v>10</v>
      </c>
      <c r="D20">
        <v>22882.91</v>
      </c>
      <c r="E20">
        <v>8056.93</v>
      </c>
      <c r="F20">
        <v>2747.79</v>
      </c>
      <c r="G20">
        <v>140</v>
      </c>
      <c r="H20" t="s">
        <v>11</v>
      </c>
    </row>
    <row r="21" spans="1:8" x14ac:dyDescent="0.3">
      <c r="A21" t="s">
        <v>17</v>
      </c>
      <c r="B21" t="s">
        <v>21</v>
      </c>
      <c r="C21" t="s">
        <v>12</v>
      </c>
      <c r="D21">
        <v>15162.69</v>
      </c>
      <c r="E21">
        <v>5570.37</v>
      </c>
      <c r="F21">
        <v>2836.19</v>
      </c>
      <c r="G21">
        <v>74</v>
      </c>
      <c r="H21" t="s">
        <v>11</v>
      </c>
    </row>
    <row r="22" spans="1:8" x14ac:dyDescent="0.3">
      <c r="A22" t="s">
        <v>22</v>
      </c>
      <c r="B22" t="s">
        <v>9</v>
      </c>
      <c r="C22" t="s">
        <v>10</v>
      </c>
      <c r="D22">
        <v>25701.52</v>
      </c>
      <c r="E22">
        <v>15597.43</v>
      </c>
      <c r="F22">
        <v>4889.75</v>
      </c>
      <c r="G22">
        <v>180</v>
      </c>
      <c r="H22" t="s">
        <v>11</v>
      </c>
    </row>
    <row r="23" spans="1:8" x14ac:dyDescent="0.3">
      <c r="A23" t="s">
        <v>22</v>
      </c>
      <c r="B23" t="s">
        <v>9</v>
      </c>
      <c r="C23" t="s">
        <v>12</v>
      </c>
      <c r="D23">
        <v>16862.43</v>
      </c>
      <c r="E23">
        <v>9990.3700000000008</v>
      </c>
      <c r="F23">
        <v>3203.34</v>
      </c>
      <c r="G23">
        <v>78</v>
      </c>
      <c r="H23" t="s">
        <v>11</v>
      </c>
    </row>
    <row r="24" spans="1:8" x14ac:dyDescent="0.3">
      <c r="A24" t="s">
        <v>22</v>
      </c>
      <c r="B24" t="s">
        <v>19</v>
      </c>
      <c r="C24" t="s">
        <v>10</v>
      </c>
      <c r="D24">
        <v>20647.330000000002</v>
      </c>
      <c r="E24">
        <v>12603.92</v>
      </c>
      <c r="F24">
        <v>2529.4</v>
      </c>
      <c r="G24">
        <v>191</v>
      </c>
      <c r="H24" t="s">
        <v>11</v>
      </c>
    </row>
    <row r="25" spans="1:8" x14ac:dyDescent="0.3">
      <c r="A25" t="s">
        <v>22</v>
      </c>
      <c r="B25" t="s">
        <v>19</v>
      </c>
      <c r="C25" t="s">
        <v>12</v>
      </c>
      <c r="D25">
        <v>11335.29</v>
      </c>
      <c r="E25">
        <v>7015.12</v>
      </c>
      <c r="G25">
        <v>116</v>
      </c>
      <c r="H25" t="s">
        <v>11</v>
      </c>
    </row>
    <row r="26" spans="1:8" x14ac:dyDescent="0.3">
      <c r="A26" t="s">
        <v>22</v>
      </c>
      <c r="B26" t="s">
        <v>23</v>
      </c>
      <c r="C26" t="s">
        <v>10</v>
      </c>
      <c r="D26">
        <v>18307.09</v>
      </c>
      <c r="E26">
        <v>10389.379999999999</v>
      </c>
      <c r="F26">
        <v>3338.11</v>
      </c>
      <c r="G26">
        <v>175</v>
      </c>
      <c r="H26" t="s">
        <v>11</v>
      </c>
    </row>
    <row r="27" spans="1:8" x14ac:dyDescent="0.3">
      <c r="A27" t="s">
        <v>22</v>
      </c>
      <c r="B27" t="s">
        <v>23</v>
      </c>
      <c r="C27" t="s">
        <v>12</v>
      </c>
      <c r="D27">
        <v>10108.15</v>
      </c>
      <c r="E27">
        <v>5390.44</v>
      </c>
      <c r="F27">
        <v>1587.48</v>
      </c>
      <c r="G27">
        <v>48</v>
      </c>
      <c r="H27" t="s">
        <v>11</v>
      </c>
    </row>
    <row r="28" spans="1:8" x14ac:dyDescent="0.3">
      <c r="A28" t="s">
        <v>22</v>
      </c>
      <c r="B28" t="s">
        <v>15</v>
      </c>
      <c r="C28" t="s">
        <v>10</v>
      </c>
      <c r="D28">
        <v>12939.89</v>
      </c>
      <c r="E28">
        <v>9147.3799999999992</v>
      </c>
      <c r="F28">
        <v>2213.02</v>
      </c>
      <c r="G28">
        <v>74</v>
      </c>
      <c r="H28" t="s">
        <v>11</v>
      </c>
    </row>
    <row r="29" spans="1:8" x14ac:dyDescent="0.3">
      <c r="A29" t="s">
        <v>22</v>
      </c>
      <c r="B29" t="s">
        <v>15</v>
      </c>
      <c r="C29" t="s">
        <v>12</v>
      </c>
      <c r="D29">
        <v>7978.19</v>
      </c>
      <c r="E29">
        <v>5436.96</v>
      </c>
      <c r="F29">
        <v>1255.56</v>
      </c>
      <c r="G29">
        <v>67</v>
      </c>
      <c r="H29" t="s">
        <v>11</v>
      </c>
    </row>
    <row r="30" spans="1:8" x14ac:dyDescent="0.3">
      <c r="A30" t="s">
        <v>22</v>
      </c>
      <c r="B30" t="s">
        <v>24</v>
      </c>
      <c r="C30" t="s">
        <v>10</v>
      </c>
      <c r="D30">
        <v>13927.52</v>
      </c>
      <c r="E30">
        <v>4865.1099999999997</v>
      </c>
      <c r="F30">
        <v>1804.1</v>
      </c>
      <c r="G30">
        <v>75</v>
      </c>
      <c r="H30" t="s">
        <v>11</v>
      </c>
    </row>
    <row r="31" spans="1:8" x14ac:dyDescent="0.3">
      <c r="A31" t="s">
        <v>22</v>
      </c>
      <c r="B31" t="s">
        <v>24</v>
      </c>
      <c r="C31" t="s">
        <v>12</v>
      </c>
      <c r="D31">
        <v>9458.16</v>
      </c>
      <c r="E31">
        <v>3170.47</v>
      </c>
      <c r="F31">
        <v>1823.38</v>
      </c>
      <c r="G31">
        <v>47</v>
      </c>
      <c r="H31" t="s">
        <v>11</v>
      </c>
    </row>
    <row r="32" spans="1:8" x14ac:dyDescent="0.3">
      <c r="A32" t="s">
        <v>25</v>
      </c>
      <c r="B32" t="s">
        <v>26</v>
      </c>
      <c r="C32" t="s">
        <v>10</v>
      </c>
      <c r="D32">
        <v>31879.34</v>
      </c>
      <c r="E32">
        <v>18706.41</v>
      </c>
      <c r="F32">
        <v>5555.51</v>
      </c>
      <c r="G32">
        <v>222</v>
      </c>
      <c r="H32" t="s">
        <v>11</v>
      </c>
    </row>
    <row r="33" spans="1:8" x14ac:dyDescent="0.3">
      <c r="A33" t="s">
        <v>25</v>
      </c>
      <c r="B33" t="s">
        <v>26</v>
      </c>
      <c r="C33" t="s">
        <v>12</v>
      </c>
      <c r="D33">
        <v>20964.3</v>
      </c>
      <c r="E33">
        <v>12087.91</v>
      </c>
      <c r="F33">
        <v>3454.29</v>
      </c>
      <c r="G33">
        <v>113</v>
      </c>
      <c r="H33" t="s">
        <v>11</v>
      </c>
    </row>
    <row r="34" spans="1:8" x14ac:dyDescent="0.3">
      <c r="A34" t="s">
        <v>25</v>
      </c>
      <c r="B34" t="s">
        <v>27</v>
      </c>
      <c r="C34" t="s">
        <v>10</v>
      </c>
      <c r="D34">
        <v>27345.64</v>
      </c>
      <c r="E34">
        <v>18013.830000000002</v>
      </c>
      <c r="F34">
        <v>4611.33</v>
      </c>
      <c r="G34">
        <v>287</v>
      </c>
      <c r="H34" t="s">
        <v>11</v>
      </c>
    </row>
    <row r="35" spans="1:8" x14ac:dyDescent="0.3">
      <c r="A35" t="s">
        <v>25</v>
      </c>
      <c r="B35" t="s">
        <v>27</v>
      </c>
      <c r="C35" t="s">
        <v>12</v>
      </c>
      <c r="D35">
        <v>16738.560000000001</v>
      </c>
      <c r="E35">
        <v>10360.64</v>
      </c>
      <c r="F35">
        <v>2323.9899999999998</v>
      </c>
      <c r="G35">
        <v>82</v>
      </c>
      <c r="H35" t="s">
        <v>11</v>
      </c>
    </row>
    <row r="36" spans="1:8" x14ac:dyDescent="0.3">
      <c r="A36" t="s">
        <v>25</v>
      </c>
      <c r="B36" t="s">
        <v>14</v>
      </c>
      <c r="C36" t="s">
        <v>10</v>
      </c>
      <c r="D36">
        <v>21732.37</v>
      </c>
      <c r="E36">
        <v>11374.77</v>
      </c>
      <c r="F36">
        <v>3277.51</v>
      </c>
      <c r="G36">
        <v>124</v>
      </c>
      <c r="H36" t="s">
        <v>11</v>
      </c>
    </row>
    <row r="37" spans="1:8" x14ac:dyDescent="0.3">
      <c r="A37" t="s">
        <v>25</v>
      </c>
      <c r="B37" t="s">
        <v>14</v>
      </c>
      <c r="C37" t="s">
        <v>12</v>
      </c>
      <c r="D37">
        <v>12962.03</v>
      </c>
      <c r="E37">
        <v>6913.66</v>
      </c>
      <c r="F37">
        <v>2083.38</v>
      </c>
      <c r="G37">
        <v>112</v>
      </c>
      <c r="H37" t="s">
        <v>11</v>
      </c>
    </row>
    <row r="38" spans="1:8" x14ac:dyDescent="0.3">
      <c r="A38" t="s">
        <v>25</v>
      </c>
      <c r="B38" t="s">
        <v>28</v>
      </c>
      <c r="C38" t="s">
        <v>10</v>
      </c>
      <c r="D38">
        <v>15478</v>
      </c>
      <c r="E38">
        <v>11215.64</v>
      </c>
      <c r="F38">
        <v>3041.98</v>
      </c>
      <c r="G38">
        <v>120</v>
      </c>
      <c r="H38" t="s">
        <v>11</v>
      </c>
    </row>
    <row r="39" spans="1:8" x14ac:dyDescent="0.3">
      <c r="A39" t="s">
        <v>25</v>
      </c>
      <c r="B39" t="s">
        <v>28</v>
      </c>
      <c r="C39" t="s">
        <v>12</v>
      </c>
      <c r="D39">
        <v>9532.5</v>
      </c>
      <c r="E39">
        <v>6487.26</v>
      </c>
      <c r="F39">
        <v>1530.64</v>
      </c>
      <c r="G39">
        <v>101</v>
      </c>
      <c r="H39" t="s">
        <v>11</v>
      </c>
    </row>
    <row r="40" spans="1:8" x14ac:dyDescent="0.3">
      <c r="A40" t="s">
        <v>25</v>
      </c>
      <c r="B40" t="s">
        <v>24</v>
      </c>
      <c r="C40" t="s">
        <v>10</v>
      </c>
      <c r="D40">
        <v>20062.349999999999</v>
      </c>
      <c r="E40">
        <v>7125.76</v>
      </c>
      <c r="F40">
        <v>3144.74</v>
      </c>
      <c r="G40">
        <v>99</v>
      </c>
      <c r="H40" t="s">
        <v>11</v>
      </c>
    </row>
    <row r="41" spans="1:8" x14ac:dyDescent="0.3">
      <c r="A41" t="s">
        <v>25</v>
      </c>
      <c r="B41" t="s">
        <v>24</v>
      </c>
      <c r="C41" t="s">
        <v>12</v>
      </c>
      <c r="D41">
        <v>12106.62</v>
      </c>
      <c r="E41">
        <v>4037.84</v>
      </c>
      <c r="F41">
        <v>1897.62</v>
      </c>
      <c r="G41">
        <v>146</v>
      </c>
      <c r="H41" t="s">
        <v>11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8E01CD-1FD3-4527-9C08-672BFB083748}">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0EDDF13-4011-4FF5-98AD-BECCFAF0978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Insights Recommendations</vt:lpstr>
      <vt:lpstr>dashboard</vt:lpstr>
      <vt:lpstr>Analysis</vt:lpstr>
      <vt:lpstr>Combined_Data</vt:lpstr>
      <vt:lpstr>May_2024</vt:lpstr>
      <vt:lpstr>Mar_2024</vt:lpstr>
      <vt:lpstr>Jun_2024</vt:lpstr>
      <vt:lpstr>Jan_2024</vt:lpstr>
      <vt:lpstr>Feb_2024</vt:lpstr>
      <vt:lpstr>Apr_2024</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Rashmi Khairnar</dc:creator>
  <cp:lastModifiedBy>Rashmi Khairnar</cp:lastModifiedBy>
  <dcterms:created xsi:type="dcterms:W3CDTF">2026-09-09T18:09:05Z</dcterms:created>
  <dcterms:modified xsi:type="dcterms:W3CDTF">2026-09-13T17:28:44Z</dcterms:modified>
</cp:coreProperties>
</file>